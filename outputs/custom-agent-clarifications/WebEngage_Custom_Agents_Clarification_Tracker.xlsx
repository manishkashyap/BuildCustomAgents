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Questions" sheetId="2" r:id="rId6"/>
    <sheet state="visible" name="Stakeholder Routing" sheetId="3" r:id="rId7"/>
    <sheet state="visible" name="Reference" sheetId="4" r:id="rId8"/>
  </sheets>
  <definedNames/>
  <calcPr/>
</workbook>
</file>

<file path=xl/sharedStrings.xml><?xml version="1.0" encoding="utf-8"?>
<sst xmlns="http://schemas.openxmlformats.org/spreadsheetml/2006/main" count="933" uniqueCount="488">
  <si>
    <t>WebEngage Custom Agents — Clarification Overview</t>
  </si>
  <si>
    <t>Reference &amp; Response Guidance</t>
  </si>
  <si>
    <t>A stakeholder decision workbook for the proposed Java / Spring Boot custom-agent platform</t>
  </si>
  <si>
    <t>Use these definitions to keep stakeholder responses consistent and decision-ready.</t>
  </si>
  <si>
    <t>Status</t>
  </si>
  <si>
    <t>Definition</t>
  </si>
  <si>
    <t>Priority</t>
  </si>
  <si>
    <t>Blocking?</t>
  </si>
  <si>
    <t>Total questions</t>
  </si>
  <si>
    <t>Stakeholder</t>
  </si>
  <si>
    <t>Primary review focus</t>
  </si>
  <si>
    <t>Not Started</t>
  </si>
  <si>
    <t>Blocking decisions</t>
  </si>
  <si>
    <t>No stakeholder input has been recorded.</t>
  </si>
  <si>
    <t>Decided</t>
  </si>
  <si>
    <t>Critical</t>
  </si>
  <si>
    <t>Completion</t>
  </si>
  <si>
    <t>Required before architecture or implementation can safely proceed.</t>
  </si>
  <si>
    <t>Yes</t>
  </si>
  <si>
    <t>Implementation should not begin without a decision.</t>
  </si>
  <si>
    <t>Product</t>
  </si>
  <si>
    <t>Product scope, behavior, sharing model, and acceptance criteria</t>
  </si>
  <si>
    <t>In Review</t>
  </si>
  <si>
    <t>Input is being discussed or requires validation.</t>
  </si>
  <si>
    <t>High</t>
  </si>
  <si>
    <t>Materially affects the first release design or scope.</t>
  </si>
  <si>
    <t>No</t>
  </si>
  <si>
    <t>Stakeholder Routing &amp; Review Responsibilities</t>
  </si>
  <si>
    <t>WebEngage Custom Agents — Stakeholder Clarification Tracker</t>
  </si>
  <si>
    <t>A recommended default can be used temporarily.</t>
  </si>
  <si>
    <t>Platform Architecture</t>
  </si>
  <si>
    <t>Use this tab to distribute the Questions tab to the right decision-makers and track their review load.</t>
  </si>
  <si>
    <t>Service boundaries, runtime model, contracts, and extensibility</t>
  </si>
  <si>
    <t>Complete all Critical / Blocking questions before implementation. Yellow columns are stakeholder-owned inputs.</t>
  </si>
  <si>
    <t>Blocked</t>
  </si>
  <si>
    <t>Generated 31 Jul 2026  •  72 questions  •  Update one accountable decision owner per row</t>
  </si>
  <si>
    <t>A dependency prevents a decision.</t>
  </si>
  <si>
    <t>Medium</t>
  </si>
  <si>
    <t>Can use a documented default if stakeholders do not override it.</t>
  </si>
  <si>
    <t>Core Agentic Layer</t>
  </si>
  <si>
    <t>ID</t>
  </si>
  <si>
    <t>LLM-generation API, tool-calling protocol, limits, and errors</t>
  </si>
  <si>
    <t>Primary focus</t>
  </si>
  <si>
    <t>Input expected</t>
  </si>
  <si>
    <t>Primary questions</t>
  </si>
  <si>
    <t>A decision is approved and ready for implementation.</t>
  </si>
  <si>
    <t>Blocking questions</t>
  </si>
  <si>
    <t>Suggested accountable role</t>
  </si>
  <si>
    <t>Theme</t>
  </si>
  <si>
    <t>Core Platform / Tool Owners</t>
  </si>
  <si>
    <t>Tool schemas, side effects, reliability, and downstream APIs</t>
  </si>
  <si>
    <t>Choose business defaults and approve the first-release boundary</t>
  </si>
  <si>
    <t>Clarifying question</t>
  </si>
  <si>
    <t>Decision / recommended default</t>
  </si>
  <si>
    <t>Primary stakeholder</t>
  </si>
  <si>
    <t>Security / IAM</t>
  </si>
  <si>
    <t>Supporting stakeholders</t>
  </si>
  <si>
    <t>Identity, authorization, secrets, delegated access, and approvals</t>
  </si>
  <si>
    <t>Response standard</t>
  </si>
  <si>
    <t>Why it matters</t>
  </si>
  <si>
    <t>Response / decision</t>
  </si>
  <si>
    <t>Data Privacy / Compliance</t>
  </si>
  <si>
    <t>Decision owner</t>
  </si>
  <si>
    <t>Retention, PII, audit, encryption, residency, and deletion</t>
  </si>
  <si>
    <t>For every decision, record the chosen option or concrete requirement in ‘Response / decision’, name a single accountable decision owner, update Status to Decided only after approval, and use Notes / follow-up for dependencies or action items. If the recommended default is accepted, state ‘Accept recommended default’ explicitly.</t>
  </si>
  <si>
    <t>Due date</t>
  </si>
  <si>
    <t>Notes / follow-up</t>
  </si>
  <si>
    <t>Product Manager / Agent Platform Owner</t>
  </si>
  <si>
    <t>Q01</t>
  </si>
  <si>
    <t>Approve architecture decisions and internal platform alignment</t>
  </si>
  <si>
    <t>Custom-agent programming model</t>
  </si>
  <si>
    <t>When users ‘write their own agents,’ what artifact will they provide?</t>
  </si>
  <si>
    <t>Choose one: declarative definition; Java source upload; compiled JAR/plugin; or Java classes deployed with this service. Recommended: declarative definitions with trusted Java tool components.</t>
  </si>
  <si>
    <t>SRE / Infrastructure</t>
  </si>
  <si>
    <t>Deployment, persistence, scheduling, scaling, and observability</t>
  </si>
  <si>
    <t>Principal / Staff Architect</t>
  </si>
  <si>
    <t>Backend Engineering</t>
  </si>
  <si>
    <t>Working agreement: resolve all blocking questions, record one accountable owner, and mark a row Decided only after stakeholder approval. Recommended defaults are implementation assumptions—not silent decisions.</t>
  </si>
  <si>
    <t>Java/Spring implementation standards and API conventions</t>
  </si>
  <si>
    <t>Supply a versioned contract, examples, and test endpoint or mock</t>
  </si>
  <si>
    <t>QA / Release Engineering</t>
  </si>
  <si>
    <t>Test strategy, CI, release gates, and local testability</t>
  </si>
  <si>
    <t>Platform Architecture; Security / IAM; Backend Engineering</t>
  </si>
  <si>
    <t>Decision progress by theme</t>
  </si>
  <si>
    <t>Core Agentic Layer Tech Lead</t>
  </si>
  <si>
    <t>Document and approve every initial tool contract</t>
  </si>
  <si>
    <t>The choice determines deployment, isolation, security, and lifecycle architecture.</t>
  </si>
  <si>
    <t>Total</t>
  </si>
  <si>
    <t xml:space="preserve">Declarative definitions like role play, instruction/Rules, output format, other context inputs like extternal file etc. Trusted tools selected from the pre defined webengage tools. </t>
  </si>
  <si>
    <t>Blocking</t>
  </si>
  <si>
    <t>Open</t>
  </si>
  <si>
    <t>Progress</t>
  </si>
  <si>
    <t>Product Team</t>
  </si>
  <si>
    <t>Owning Platform Tech Lead(s)</t>
  </si>
  <si>
    <t>Approve trust boundaries, claims, roles, and sensitive-action controls</t>
  </si>
  <si>
    <t>Q02</t>
  </si>
  <si>
    <t>Must new or updated agents become available without rebuilding or restarting the service?</t>
  </si>
  <si>
    <t>Recommended: yes for declarative definitions; controlled deployment for trusted Java extensions.</t>
  </si>
  <si>
    <t>Security Architect / IAM Owner</t>
  </si>
  <si>
    <t>Platform Architecture; SRE / Infrastructure</t>
  </si>
  <si>
    <t>Clarifies whether runtime registration and hot reload are required.</t>
  </si>
  <si>
    <t>Define policy constraints and approve transcript/audit handling</t>
  </si>
  <si>
    <t>Yes, as all the agent related information is stored in DB, the code should use that info to spawn an agent</t>
  </si>
  <si>
    <t xml:space="preserve">Engineering </t>
  </si>
  <si>
    <t>Q03</t>
  </si>
  <si>
    <t>Privacy / Compliance Owner</t>
  </si>
  <si>
    <t>Confirm supported infrastructure, SLOs, and operational standards</t>
  </si>
  <si>
    <t>Do agents require draft, published, and versioned states, or should every update become active immediately?</t>
  </si>
  <si>
    <t>Recommended: Draft → Published → Retired with immutable published versions.</t>
  </si>
  <si>
    <t>Backend Engineering; Data Privacy / Compliance</t>
  </si>
  <si>
    <t>SRE / Infrastructure Lead</t>
  </si>
  <si>
    <t>Defines safe authoring, rollback, and audit behavior.</t>
  </si>
  <si>
    <t>Yes, Draft → Published → Retired with immutable published versions.</t>
  </si>
  <si>
    <t>Confirm engineering standards and feasibility of proposed defaults</t>
  </si>
  <si>
    <t>Q04</t>
  </si>
  <si>
    <t>Can an agent invoke any registered tool, or only an explicit per-agent allowlist?</t>
  </si>
  <si>
    <t>Recommended: explicit allowlist, validated at publish and run time.</t>
  </si>
  <si>
    <t>Backend Engineering Lead</t>
  </si>
  <si>
    <t>Product; Core Platform / Tool Owners</t>
  </si>
  <si>
    <t>Controls privilege boundaries and limits unintended actions.</t>
  </si>
  <si>
    <t>Allowed list for now</t>
  </si>
  <si>
    <t>WebEngage tools</t>
  </si>
  <si>
    <t>Approve test strategy and delivery pipeline requirements</t>
  </si>
  <si>
    <t>Q05</t>
  </si>
  <si>
    <t>Should each agent define an input and output JSON Schema?</t>
  </si>
  <si>
    <t>Recommended: yes; require input schema and allow optional output schema.</t>
  </si>
  <si>
    <t>Platform Architecture; Backend Engineering</t>
  </si>
  <si>
    <t>Enables validation, discoverability, and stable API contracts.</t>
  </si>
  <si>
    <t>The input schema should be prepared using the information provided at the time of agent creation.  The user should be able to define their own input sections. Also provision to provide few examples too at the time of agent creation.
Output schema can be asked at the time of agent creation. Will iterate on the output</t>
  </si>
  <si>
    <t>QA / Release Lead</t>
  </si>
  <si>
    <t>Suggested review sequence</t>
  </si>
  <si>
    <t>Q06</t>
  </si>
  <si>
    <t>1. Product + Architecture resolve the programming model, service boundary, and release scope.  2. Core Agentic Layer + Tool Owners provide executable contracts.  3. Security + Privacy approve identity, tool permissions, transcripts, and retention.  4. SRE confirms persistence, scheduling, deployment, capacity, and observability.  5. Engineering + QA finalize implementation conventions and delivery gates.</t>
  </si>
  <si>
    <t>Can agents store configuration or secrets, and how should secrets be represented?</t>
  </si>
  <si>
    <t>Recommended: store non-secret configuration; reference secrets by vault identifier only.</t>
  </si>
  <si>
    <t>Agent and execution APIs</t>
  </si>
  <si>
    <t>SRE / Infrastructure; Backend Engineering</t>
  </si>
  <si>
    <t>Prevents credentials from leaking into definitions and transcripts.</t>
  </si>
  <si>
    <t>No, Can refer to the Vault secrets.</t>
  </si>
  <si>
    <t>Q07</t>
  </si>
  <si>
    <t>What is the Core Agentic Layer endpoint, HTTP method, and request/response contract?</t>
  </si>
  <si>
    <t>Provide OpenAPI or representative request/response examples, including errors.</t>
  </si>
  <si>
    <t>The orchestration client cannot be implemented without a stable contract.</t>
  </si>
  <si>
    <t>Not yet defined but open for suggestions, The Input/output can follow the OpenAI contract.</t>
  </si>
  <si>
    <t>Scheduling</t>
  </si>
  <si>
    <t>Q08</t>
  </si>
  <si>
    <t>Is the tool-calling protocol OpenAI-compatible or WebEngage-specific?</t>
  </si>
  <si>
    <t>Recommended: document a versioned internal contract even if it mirrors OpenAI tool calling.</t>
  </si>
  <si>
    <t>Determines message types, tool-call parsing, and compatibility strategy.</t>
  </si>
  <si>
    <t>webengage specific MCPs</t>
  </si>
  <si>
    <t>Q09</t>
  </si>
  <si>
    <t>Should this service perform the full agent loop: send context, receive tool calls, execute tools, return results, and repeat until a final answer?</t>
  </si>
  <si>
    <t>Recommended: yes; the custom-agent service owns tool execution and the Core Agentic Layer owns model generation.</t>
  </si>
  <si>
    <t>Core Agentic Layer; Core Platform / Tool Owners</t>
  </si>
  <si>
    <t>Authentication and authorization</t>
  </si>
  <si>
    <t>Establishes the service boundary and orchestration responsibility.</t>
  </si>
  <si>
    <t>yes; the custom-agent service owns tool execution and the Core Agentic Layer owns model generation.</t>
  </si>
  <si>
    <t>Q10</t>
  </si>
  <si>
    <t>What maximum iterations, wall-clock timeout, token limit, and cost limit should apply per execution?</t>
  </si>
  <si>
    <t>Recommended starting point: 10 iterations, 5-minute timeout, configurable token/cost ceilings.</t>
  </si>
  <si>
    <t>Core Agentic Layer; SRE / Infrastructure</t>
  </si>
  <si>
    <t>Prevents runaway loops and unbounded latency or spend.</t>
  </si>
  <si>
    <t>Conversation and audit logging</t>
  </si>
  <si>
    <t>starting point: 10 iterations, 5-minute timeout, configurable token/cost ceilings. Should be configurable as needed</t>
  </si>
  <si>
    <t>Q11</t>
  </si>
  <si>
    <t>Should multiple tool calls returned in one model response execute in parallel?</t>
  </si>
  <si>
    <t>Recommended: parallel only for tools declared read-only and concurrency-safe.</t>
  </si>
  <si>
    <t>Core Platform / Tool Owners; Backend Engineering</t>
  </si>
  <si>
    <t>Affects performance, ordering, and side-effect safety.</t>
  </si>
  <si>
    <t>parallel only for tools declared read-only and concurrency-safe.</t>
  </si>
  <si>
    <t>Q12</t>
  </si>
  <si>
    <t>Should conversation context persist across separate executions or only within one run?</t>
  </si>
  <si>
    <t>Recommended: isolate by run initially; add explicit conversation/session IDs if cross-run continuity is needed.</t>
  </si>
  <si>
    <t>Data Privacy / Compliance; Platform Architecture</t>
  </si>
  <si>
    <t>Persistence and infrastructure</t>
  </si>
  <si>
    <t>Determines storage model, privacy scope, and context assembly.</t>
  </si>
  <si>
    <t>isolate by run initially; add explicit conversation/session IDs if cross-run continuity is needed.</t>
  </si>
  <si>
    <t>Q13</t>
  </si>
  <si>
    <t>Is a mock Core Agentic Layer acceptable for local development and automated tests?</t>
  </si>
  <si>
    <t>Recommended: yes, with deterministic scripted tool-call scenarios.</t>
  </si>
  <si>
    <t>Core Agentic Layer; Backend Engineering</t>
  </si>
  <si>
    <t>Enables reliable development and integration testing without model dependency.</t>
  </si>
  <si>
    <t>yes, with deterministic scripted tool-call scenarios.</t>
  </si>
  <si>
    <t>Technology choices</t>
  </si>
  <si>
    <t>Q14</t>
  </si>
  <si>
    <t>What are the initial tools and their request/response contracts?</t>
  </si>
  <si>
    <t>Provide tool names, descriptions, JSON schemas, owners, side-effect classification, and examples.</t>
  </si>
  <si>
    <t>Product; Platform Architecture</t>
  </si>
  <si>
    <t>Tool definitions are foundational inputs to agent configuration and execution.</t>
  </si>
  <si>
    <t>Open, will add a doc for the same. suggest em a doc format to declare the tolls</t>
  </si>
  <si>
    <t>Q15</t>
  </si>
  <si>
    <t>How are core-platform tools exposed: HTTP, gRPC, Kafka, Java SDKs, or a combination?</t>
  </si>
  <si>
    <t>Document the protocol and service endpoint for each initial tool.</t>
  </si>
  <si>
    <t>Reliability and operations</t>
  </si>
  <si>
    <t>Drives connector abstractions, error handling, and deployment dependencies.</t>
  </si>
  <si>
    <t>Will document in the same tool doc</t>
  </si>
  <si>
    <t>Q16</t>
  </si>
  <si>
    <t>How should this service authenticate to core platforms: service credentials, delegated user identity, or both?</t>
  </si>
  <si>
    <t>Recommended: service identity plus delegated user/account context where authorization requires it.</t>
  </si>
  <si>
    <t>Core Platform / Tool Owners; Platform Architecture</t>
  </si>
  <si>
    <t>Defines downstream trust and least-privilege enforcement.</t>
  </si>
  <si>
    <t>A service account token will be used for oAuth for all tool calls</t>
  </si>
  <si>
    <t>Delivery scope</t>
  </si>
  <si>
    <t>Q17</t>
  </si>
  <si>
    <t>Are tools synchronous, asynchronous, or mixed?</t>
  </si>
  <si>
    <t>Classify every initial tool and define polling or callback behavior for asynchronous tools.</t>
  </si>
  <si>
    <t>Backend Engineering; SRE / Infrastructure</t>
  </si>
  <si>
    <t>Determines orchestration state transitions and execution persistence.</t>
  </si>
  <si>
    <t>Can be both sync/async. I case of async willl tool will define a placeholder to provide a call back method</t>
  </si>
  <si>
    <t>Q18</t>
  </si>
  <si>
    <t>Should failed tool calls be retried, and which operations are safe to retry?</t>
  </si>
  <si>
    <t>Recommended: retry only idempotent operations; require idempotency keys for retryable writes.</t>
  </si>
  <si>
    <t>Avoids duplicate side effects while improving resilience.</t>
  </si>
  <si>
    <t>retry only idempotent operations; require idempotency keys for retryable writes.</t>
  </si>
  <si>
    <t>How to use this workbook</t>
  </si>
  <si>
    <t>Q19</t>
  </si>
  <si>
    <t>1. Filter the Questions tab by Primary stakeholder and Blocking?.  2. Enter a concrete response, decision owner, and due date.  3. Use In Review while validating and Blocked only when a named dependency exists.  4. Change Status to Decided after approval.  5. Review this Overview tab until all Blocking decisions are resolved.</t>
  </si>
  <si>
    <t>Do sensitive or high-impact tools require human confirmation or approval before execution?</t>
  </si>
  <si>
    <t>Recommended: risk-tier tools and require approval for destructive, external, or high-volume actions.</t>
  </si>
  <si>
    <t>Product; Core Platform / Tool Owners; Data Privacy / Compliance</t>
  </si>
  <si>
    <t>Establishes guardrails for consequential actions.</t>
  </si>
  <si>
    <t>risk-tier tools and require approval for destructive, external, or high-volume actions.</t>
  </si>
  <si>
    <t>Q20</t>
  </si>
  <si>
    <t>Should the framework expose a standard Java tool interface and registry for tools implemented as Spring beans?</t>
  </si>
  <si>
    <t>Recommended: yes, with metadata, input schema, authorization hook, execution method, and result schema.</t>
  </si>
  <si>
    <t>Backend Engineering; Core Platform / Tool Owners</t>
  </si>
  <si>
    <t>Creates a consistent extension model and test surface.</t>
  </si>
  <si>
    <t>yes, with metadata, input schema, authorization hook, execution method, and result schema. Should be implemented using the tools definition defined in a doc</t>
  </si>
  <si>
    <t>Q21</t>
  </si>
  <si>
    <t>Which API capabilities are required in the first release?</t>
  </si>
  <si>
    <t>Confirm: agent CRUD/list; publish/version; run; status/result; cancel; run/transcript history; schedule CRUD and enable/disable.</t>
  </si>
  <si>
    <t>Backend Engineering; Platform Architecture</t>
  </si>
  <si>
    <t>Fixes the external API scope and delivery boundary.</t>
  </si>
  <si>
    <t>start with agent CRUD/list and execution by an api call to test the agent</t>
  </si>
  <si>
    <t>Q22</t>
  </si>
  <si>
    <t>Should execution be synchronous, asynchronous, or both?</t>
  </si>
  <si>
    <t>Recommended: both; asynchronous by default and synchronous with a strict timeout.</t>
  </si>
  <si>
    <t>Determines response semantics, persistence, and worker design.</t>
  </si>
  <si>
    <t>both; asynchronous by default and synchronous with a strict timeout.</t>
  </si>
  <si>
    <t>Q23</t>
  </si>
  <si>
    <t>What should an execution trigger contain besides agent ID?</t>
  </si>
  <si>
    <t>Confirm arbitrary JSON input, user context, account/license identifier, correlation ID, and idempotency key.</t>
  </si>
  <si>
    <t>Security / IAM; Backend Engineering</t>
  </si>
  <si>
    <t>Defines validation, tenancy, tracing, and replay protection.</t>
  </si>
  <si>
    <t>Just an agent ID to start with but can be enhanced</t>
  </si>
  <si>
    <t>Q24</t>
  </si>
  <si>
    <t>Should deleted agents be soft-deleted for auditability?</t>
  </si>
  <si>
    <t>Recommended: soft delete, with admin-only purge subject to retention policy.</t>
  </si>
  <si>
    <t>Product; Backend Engineering</t>
  </si>
  <si>
    <t>Balances audit requirements with eventual data deletion.</t>
  </si>
  <si>
    <t>Soft deleted</t>
  </si>
  <si>
    <t>Q25</t>
  </si>
  <si>
    <t>What pagination, sorting, and filtering conventions should the REST APIs follow?</t>
  </si>
  <si>
    <t>Provide WebEngage standards; otherwise use cursor pagination for runs and page/size for agent administration.</t>
  </si>
  <si>
    <t>Keeps APIs consistent and scalable.</t>
  </si>
  <si>
    <t>standard</t>
  </si>
  <si>
    <t>Q26</t>
  </si>
  <si>
    <t>Is REST with OpenAPI/Swagger sufficient, or is another API style required?</t>
  </si>
  <si>
    <t>Recommended: versioned REST JSON APIs documented with OpenAPI 3.1.</t>
  </si>
  <si>
    <t>Sets the interface standard and documentation approach.</t>
  </si>
  <si>
    <t>versioned REST JSON APIs documented with OpenAPI 3.1.</t>
  </si>
  <si>
    <t>Q27</t>
  </si>
  <si>
    <t>Should schedules accept cron expressions, fixed intervals, or both?</t>
  </si>
  <si>
    <t>Recommended: both, normalized internally to a schedule definition.</t>
  </si>
  <si>
    <t>Defines scheduling API and validation behavior.</t>
  </si>
  <si>
    <t>both, normalized internally to a schedule definition.</t>
  </si>
  <si>
    <t>Q28</t>
  </si>
  <si>
    <t>Which timezone should schedules use: per schedule, account timezone, or UTC?</t>
  </si>
  <si>
    <t>Recommended: IANA timezone per schedule, defaulting to account timezone, with UTC storage.</t>
  </si>
  <si>
    <t>Prevents ambiguous trigger times and daylight-saving errors.</t>
  </si>
  <si>
    <t>IANA timezone per schedule, defaulting to account timezone, with UTC storage.</t>
  </si>
  <si>
    <t>Q29</t>
  </si>
  <si>
    <t>What should happen if a scheduled run is active when the next occurrence arrives?</t>
  </si>
  <si>
    <t>Choose per schedule: Skip, Queue, or Parallel. Recommended default: Skip.</t>
  </si>
  <si>
    <t>SRE / Infrastructure; Platform Architecture</t>
  </si>
  <si>
    <t>Controls duplicate work and execution backlog.</t>
  </si>
  <si>
    <t>Skip if already running, will rovision for queue later</t>
  </si>
  <si>
    <t>Q30</t>
  </si>
  <si>
    <t>What should happen to missed executions after downtime?</t>
  </si>
  <si>
    <t>Choose Skip or Catch up. Recommended default: skip and record a misfire event.</t>
  </si>
  <si>
    <t>Defines predictable recovery after outages.</t>
  </si>
  <si>
    <t>Skip</t>
  </si>
  <si>
    <t>Q31</t>
  </si>
  <si>
    <t>Will the service run with multiple replicas, and may it use a clustered scheduler backed by PostgreSQL?</t>
  </si>
  <si>
    <t>Recommended: yes; use clustered Quartz or an approved existing job platform.</t>
  </si>
  <si>
    <t>Avoids duplicate firing and ensures high-availability scheduling.</t>
  </si>
  <si>
    <t>Existing scheduler, will specify the api contract</t>
  </si>
  <si>
    <t>Q32</t>
  </si>
  <si>
    <t>Do schedules need start/end dates and a maximum execution count?</t>
  </si>
  <si>
    <t>Recommended: optional start/end dates; optional maximum run count.</t>
  </si>
  <si>
    <t>Supports bounded campaigns and operational control.</t>
  </si>
  <si>
    <t>optional start/end dates; optional maximum run count.</t>
  </si>
  <si>
    <t>Q33</t>
  </si>
  <si>
    <t>Which identity provider and token format should the service support?</t>
  </si>
  <si>
    <t>Provide OIDC/OAuth2 details. Recommended: Spring Security resource server validating JWTs.</t>
  </si>
  <si>
    <t>Authentication cannot be implemented safely without the trust source.</t>
  </si>
  <si>
    <t>Not auth to start with</t>
  </si>
  <si>
    <t>Q34</t>
  </si>
  <si>
    <t>What JWT issuer, audience, and role/identity claim names should be validated?</t>
  </si>
  <si>
    <t>Provide values or confirm configurable placeholders for local environments.</t>
  </si>
  <si>
    <t>Defines token validation and identity extraction.</t>
  </si>
  <si>
    <t>Skip to start with</t>
  </si>
  <si>
    <t>Q35</t>
  </si>
  <si>
    <t>What roles and permissions are required?</t>
  </si>
  <si>
    <t>Proposed roles: AGENT_VIEWER, AGENT_AUTHOR, AGENT_OPERATOR, AGENT_ADMIN; confirm permission matrix.</t>
  </si>
  <si>
    <t>Product; Data Privacy / Compliance</t>
  </si>
  <si>
    <t>Creates the authorization model for each endpoint and action.</t>
  </si>
  <si>
    <t>Q36</t>
  </si>
  <si>
    <t>Are agents private to creators, shared within a team/account, or globally visible?</t>
  </si>
  <si>
    <t>Recommended: account-scoped by default, with explicit owner and sharing metadata.</t>
  </si>
  <si>
    <t>Security / IAM; Data Privacy / Compliance</t>
  </si>
  <si>
    <t>Defines data visibility and access checks.</t>
  </si>
  <si>
    <t>account-scoped by default, with explicit owner and sharing metadata.</t>
  </si>
  <si>
    <t>Q37</t>
  </si>
  <si>
    <t>Is the system multi-tenant, and which identifier establishes the tenant boundary?</t>
  </si>
  <si>
    <t>Confirm WebEngage account, license code, workspace, or another immutable claim.</t>
  </si>
  <si>
    <t>Tenant isolation must be embedded in every query and execution.</t>
  </si>
  <si>
    <t>WebEngage license code</t>
  </si>
  <si>
    <t>Q38</t>
  </si>
  <si>
    <t>Can administrators read execution transcripts belonging to other users or tenants?</t>
  </si>
  <si>
    <t>Recommended: tenant admins may read their tenant only; cross-tenant access requires an audited support role.</t>
  </si>
  <si>
    <t>Security / IAM; Product</t>
  </si>
  <si>
    <t>Transcripts can contain sensitive customer and platform data.</t>
  </si>
  <si>
    <t xml:space="preserve"> tenant admins may read their tenant only</t>
  </si>
  <si>
    <t>Q39</t>
  </si>
  <si>
    <t>Should the initiating user’s identity and permissions be revalidated when a scheduled job runs later?</t>
  </si>
  <si>
    <t>Recommended: validate the schedule owner and current permissions at execution time; define service-owner fallback explicitly.</t>
  </si>
  <si>
    <t>Product; SRE / Infrastructure</t>
  </si>
  <si>
    <t>Prevents schedules from retaining revoked privileges indefinitely.</t>
  </si>
  <si>
    <t>Q40</t>
  </si>
  <si>
    <t>Is service-to-service authentication required in addition to human-user authentication?</t>
  </si>
  <si>
    <t>Recommended: yes; use workload identity or signed service tokens for internal callers.</t>
  </si>
  <si>
    <t>Supports API-triggered automation without impersonating a person.</t>
  </si>
  <si>
    <t>service to service basic auth</t>
  </si>
  <si>
    <t>Q41</t>
  </si>
  <si>
    <t>Where should per-run transcripts be stored?</t>
  </si>
  <si>
    <t>Recommended: PostgreSQL for searchable metadata and messages initially; external object storage for oversized payloads if needed.</t>
  </si>
  <si>
    <t>Data Privacy / Compliance; SRE / Infrastructure</t>
  </si>
  <si>
    <t>Storage choice shapes consistency, search, retention, and scale.</t>
  </si>
  <si>
    <t>MySQL for searchable metadata and messages initially; external object storage for oversized payloads if needed.</t>
  </si>
  <si>
    <t>Q42</t>
  </si>
  <si>
    <t>Which run events must be recorded?</t>
  </si>
  <si>
    <t>Confirm trigger input, prompts, model responses, tool requests/results, retries/errors, final output, timing, and token usage.</t>
  </si>
  <si>
    <t>Data Privacy / Compliance; Core Agentic Layer; Backend Engineering</t>
  </si>
  <si>
    <t>Defines the authoritative execution history and debugging evidence.</t>
  </si>
  <si>
    <t>skip to start with</t>
  </si>
  <si>
    <t>Q43</t>
  </si>
  <si>
    <t>May raw prompts and tool results be retained, or must sensitive fields be redacted or encrypted?</t>
  </si>
  <si>
    <t>Recommended: classify fields; redact credentials; encrypt sensitive payloads; allow tool-specific redaction policies.</t>
  </si>
  <si>
    <t>Security / IAM; Core Platform / Tool Owners</t>
  </si>
  <si>
    <t>Prevents the log from becoming a sensitive-data liability.</t>
  </si>
  <si>
    <t>Q44</t>
  </si>
  <si>
    <t>What retention period applies to transcripts and audit events?</t>
  </si>
  <si>
    <t>Specify separate retention for execution content and immutable audit metadata.</t>
  </si>
  <si>
    <t>Controls storage sizing and compliance with deletion obligations.</t>
  </si>
  <si>
    <t>Q45</t>
  </si>
  <si>
    <t>Should transcript access require a separate permission?</t>
  </si>
  <si>
    <t>Recommended: yes, separate VIEW_AGENT_TRANSCRIPT from VIEW_AGENT and RUN_AGENT.</t>
  </si>
  <si>
    <t>Data Privacy / Compliance; Product</t>
  </si>
  <si>
    <t>Agent metadata is generally less sensitive than execution content.</t>
  </si>
  <si>
    <t>Q46</t>
  </si>
  <si>
    <t>Do stakeholders need searchable transcripts and a transcript retrieval API?</t>
  </si>
  <si>
    <t>Recommended: filter by tenant, agent, run, status, initiator, and time range; avoid full-text search in the MVP unless required.</t>
  </si>
  <si>
    <t>Determines indexing and API scope.</t>
  </si>
  <si>
    <t>Q47</t>
  </si>
  <si>
    <t>Are there compliance requirements for PII, data residency, encryption, legal hold, or deletion?</t>
  </si>
  <si>
    <t>Provide applicable policies and approved storage regions/services.</t>
  </si>
  <si>
    <t>Security / IAM; SRE / Infrastructure</t>
  </si>
  <si>
    <t>May materially constrain architecture and operational procedures.</t>
  </si>
  <si>
    <t>Q48</t>
  </si>
  <si>
    <t>Should CRUD, publishing, scheduling, and manual-run actions have immutable audit records?</t>
  </si>
  <si>
    <t>Recommended: yes, including actor, tenant, action, target, timestamp, correlation ID, and before/after summary.</t>
  </si>
  <si>
    <t>Supports governance, investigations, and accountability.</t>
  </si>
  <si>
    <t>Q49</t>
  </si>
  <si>
    <t>Which database should the service target?</t>
  </si>
  <si>
    <t>Recommended: PostgreSQL with Flyway migrations.</t>
  </si>
  <si>
    <t>Determines persistence implementation and operational ownership.</t>
  </si>
  <si>
    <t>MySQL</t>
  </si>
  <si>
    <t>Q50</t>
  </si>
  <si>
    <t>Are Redis, Kafka, or another queue/job platform already available?</t>
  </si>
  <si>
    <t>List approved shared infrastructure and usage constraints.</t>
  </si>
  <si>
    <t>Avoids inventing infrastructure and guides asynchronous execution design.</t>
  </si>
  <si>
    <t>Q51</t>
  </si>
  <si>
    <t>For asynchronous runs, should the service use an existing job platform, Kafka, or a database-backed worker?</t>
  </si>
  <si>
    <t>Recommended: approved enterprise job/queue platform; otherwise transactional database-backed outbox and workers for the first release.</t>
  </si>
  <si>
    <t>Defines delivery guarantees, recovery, and scaling.</t>
  </si>
  <si>
    <t>Q52</t>
  </si>
  <si>
    <t>What is the deployment target: Kubernetes, VMs, or another environment?</t>
  </si>
  <si>
    <t>Recommended: Kubernetes if it is the internal standard.</t>
  </si>
  <si>
    <t>Determines packaging, health checks, scaling, and configuration.</t>
  </si>
  <si>
    <t>Kubernetes</t>
  </si>
  <si>
    <t>Q53</t>
  </si>
  <si>
    <t>Should delivery include Dockerfile, local Compose dependencies, health/readiness endpoints, and Kubernetes manifests?</t>
  </si>
  <si>
    <t>Recommended: Dockerfile, local Compose, and Actuator probes; include manifests only if deployment conventions are provided.</t>
  </si>
  <si>
    <t>QA / Release Engineering; Backend Engineering</t>
  </si>
  <si>
    <t>Defines the deployable artifact and local developer experience.</t>
  </si>
  <si>
    <t>Q54</t>
  </si>
  <si>
    <t>Are there internal WebEngage libraries, parent POMs, API standards, or artifact repositories that must be used?</t>
  </si>
  <si>
    <t>Provide references and version constraints before scaffolding.</t>
  </si>
  <si>
    <t>Backend Engineering; QA / Release Engineering</t>
  </si>
  <si>
    <t>Ensures the project fits internal engineering and supply-chain standards.</t>
  </si>
  <si>
    <t>Q55</t>
  </si>
  <si>
    <t>Are Java 21, Spring Boot 3.x, Spring Security, Spring Data JPA, PostgreSQL, Flyway, Quartz, and springdoc-openapi acceptable?</t>
  </si>
  <si>
    <t>Recommended: yes, subject to WebEngage-supported versions and scheduler decision.</t>
  </si>
  <si>
    <t>Locks the baseline stack and compatibility envelope.</t>
  </si>
  <si>
    <t>yes</t>
  </si>
  <si>
    <t>Q56</t>
  </si>
  <si>
    <t>Should the project use Maven or Gradle?</t>
  </si>
  <si>
    <t>Recommended: Maven unless WebEngage standardizes on Gradle.</t>
  </si>
  <si>
    <t>Determines build, dependency, and CI conventions.</t>
  </si>
  <si>
    <t>Maven</t>
  </si>
  <si>
    <t>Q57</t>
  </si>
  <si>
    <t>What Java group/package name should be used?</t>
  </si>
  <si>
    <t>Proposed: com.webengage.customagents.</t>
  </si>
  <si>
    <t>Establishes stable namespace and artifact coordinates.</t>
  </si>
  <si>
    <t>com.webengage.customagents.</t>
  </si>
  <si>
    <t>Q58</t>
  </si>
  <si>
    <t>Should the project use Lombok, Java records/manual code, or another convention?</t>
  </si>
  <si>
    <t>Recommended: records for immutable API DTOs; explicit entities; avoid Lombok unless it is an internal standard.</t>
  </si>
  <si>
    <t>Keeps generated code aligned with maintainability conventions.</t>
  </si>
  <si>
    <t>records for immutable API DTOs; explicit entities; avoid Lombok unless it is an internal standard.</t>
  </si>
  <si>
    <t>Q59</t>
  </si>
  <si>
    <t>Is there a standard API response/error envelope and structured logging format to follow?</t>
  </si>
  <si>
    <t>Provide examples; otherwise use RFC 9457 Problem Details and structured JSON logs.</t>
  </si>
  <si>
    <t>Ensures consistency with internal clients and operations.</t>
  </si>
  <si>
    <t>use RFC 9457 Problem Details and structured JSON logs.</t>
  </si>
  <si>
    <t>Q60</t>
  </si>
  <si>
    <t>What peak concurrent executions, schedule count, and API traffic should the system support?</t>
  </si>
  <si>
    <t>Provide expected, peak, and first-year growth estimates.</t>
  </si>
  <si>
    <t>Capacity assumptions affect queueing, database, and concurrency design.</t>
  </si>
  <si>
    <t>Details not available</t>
  </si>
  <si>
    <t>Q61</t>
  </si>
  <si>
    <t>What rate limits are required per user, tenant, agent, or tool?</t>
  </si>
  <si>
    <t>Recommended: configurable tenant and tool limits, with stricter limits on costly or mutating tools.</t>
  </si>
  <si>
    <t>Protects shared services from abuse and noisy neighbors.</t>
  </si>
  <si>
    <t>Q62</t>
  </si>
  <si>
    <t>What availability target and maximum execution duration are required?</t>
  </si>
  <si>
    <t>Provide SLOs; recommended initial maximum run duration is configurable with a hard cap.</t>
  </si>
  <si>
    <t>Defines resilience, timeout, and operational investment.</t>
  </si>
  <si>
    <t>Q63</t>
  </si>
  <si>
    <t>Should an execution survive service restarts and resume from its last completed step?</t>
  </si>
  <si>
    <t>Recommended: persist each orchestration step and resume safely for asynchronous runs.</t>
  </si>
  <si>
    <t>Determines durability and state-machine complexity.</t>
  </si>
  <si>
    <t>Q64</t>
  </si>
  <si>
    <t>What retry, backoff, and circuit-breaker behavior is expected for the Core Agentic Layer?</t>
  </si>
  <si>
    <t>Recommended: bounded exponential backoff for transient failures, circuit breaker, and no retry for validation errors.</t>
  </si>
  <si>
    <t>Core Agentic Layer; Platform Architecture</t>
  </si>
  <si>
    <t>Prevents cascading failures and improves controlled recovery.</t>
  </si>
  <si>
    <t>Q65</t>
  </si>
  <si>
    <t>Which observability stack should be integrated?</t>
  </si>
  <si>
    <t>Confirm Micrometer/Prometheus, OpenTelemetry, Datadog, or internal equivalents.</t>
  </si>
  <si>
    <t>Determines metrics, trace, log, and dashboard integrations.</t>
  </si>
  <si>
    <t>Q66</t>
  </si>
  <si>
    <t>Should token usage, model latency, tool latency, success rate, and estimated cost be recorded?</t>
  </si>
  <si>
    <t>Recommended: yes, tagged by tenant and agent with privacy-safe cardinality controls.</t>
  </si>
  <si>
    <t>Core Agentic Layer; SRE / Infrastructure; Data Privacy / Compliance</t>
  </si>
  <si>
    <t>Enables cost governance, performance tuning, and service reporting.</t>
  </si>
  <si>
    <t>yes, tagged by tenant and agent with privacy-safe cardinality controls.</t>
  </si>
  <si>
    <t>Q67</t>
  </si>
  <si>
    <t>Should the first delivery be a production-oriented foundation or a smaller MVP?</t>
  </si>
  <si>
    <t>Recommended: production-oriented vertical slice with a limited initial tool set.</t>
  </si>
  <si>
    <t>Aligns implementation depth, timeline, and acceptance criteria.</t>
  </si>
  <si>
    <t>MVP</t>
  </si>
  <si>
    <t>Q68</t>
  </si>
  <si>
    <t>Which automated test levels are required?</t>
  </si>
  <si>
    <t>Recommended: unit, Spring integration, Testcontainers database, authorization, scheduler, and deterministic agent-loop tests.</t>
  </si>
  <si>
    <t>Backend Engineering; Security / IAM</t>
  </si>
  <si>
    <t>Defines quality gates and delivery effort.</t>
  </si>
  <si>
    <t>Q69</t>
  </si>
  <si>
    <t>Is generated OpenAPI documentation sufficient, or are architecture and operational documents also required?</t>
  </si>
  <si>
    <t>Recommended: OpenAPI plus architecture overview, data model, runbook, and extension guide.</t>
  </si>
  <si>
    <t>Ensures the service can be adopted and operated by other teams.</t>
  </si>
  <si>
    <t>OpenAPI is sufficient</t>
  </si>
  <si>
    <t>Q70</t>
  </si>
  <si>
    <t>Should the repository include sample agents and tools demonstrating the complete tool-calling loop?</t>
  </si>
  <si>
    <t>Recommended: yes, one read-only example and one guarded mutating example.</t>
  </si>
  <si>
    <t>Provides an executable reference for future agent and tool authors.</t>
  </si>
  <si>
    <t>yes, one read-only example and one guarded mutating example.</t>
  </si>
  <si>
    <t>Q71</t>
  </si>
  <si>
    <t>Is CI configuration required, and which platform should it target?</t>
  </si>
  <si>
    <t>Provide the approved platform and required checks; recommended checks include build, tests, lint, dependency scan, and image scan.</t>
  </si>
  <si>
    <t>SRE / Infrastructure; Security / IAM</t>
  </si>
  <si>
    <t>Defines repeatable delivery and security gates.</t>
  </si>
  <si>
    <t>Q72</t>
  </si>
  <si>
    <t>Should backward-compatible API/database evolution and optimistic locking be included in the first version?</t>
  </si>
  <si>
    <t>Recommended: versioned migrations and optimistic locking from the outset; API compatibility rules documented.</t>
  </si>
  <si>
    <t>Backend Engineering; Product</t>
  </si>
  <si>
    <t>Reduces lost updates and unsafe future evolution.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</si>
</sst>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1">
    <font>
      <sz val="11.0"/>
      <color rgb="FF000000"/>
      <name val="Carlito"/>
      <scheme val="minor"/>
    </font>
    <font>
      <b/>
      <sz val="18.0"/>
      <color rgb="FFFFFFFF"/>
      <name val="Aptos"/>
    </font>
    <font>
      <b/>
      <sz val="18.0"/>
      <color rgb="FFFFFFFF"/>
      <name val="Play"/>
    </font>
    <font>
      <sz val="11.0"/>
      <color rgb="FF17324D"/>
      <name val="Aptos"/>
    </font>
    <font>
      <sz val="11.0"/>
      <color theme="1"/>
      <name val="Aptos"/>
    </font>
    <font>
      <b/>
      <sz val="11.0"/>
      <color rgb="FFFFFFFF"/>
      <name val="Carlito"/>
    </font>
    <font>
      <b/>
      <sz val="11.0"/>
      <color rgb="FFFFFFFF"/>
      <name val="Aptos"/>
    </font>
    <font/>
    <font>
      <sz val="10.0"/>
      <color theme="1"/>
      <name val="Aptos"/>
    </font>
    <font>
      <i/>
      <sz val="11.0"/>
      <color rgb="FF5D6B78"/>
      <name val="Carlito"/>
    </font>
    <font>
      <b/>
      <sz val="20.0"/>
      <color rgb="FF17324D"/>
      <name val="Aptos"/>
    </font>
    <font>
      <b/>
      <sz val="10.0"/>
      <color rgb="FFFFFFFF"/>
      <name val="Carlito"/>
    </font>
    <font>
      <b/>
      <sz val="12.0"/>
      <color rgb="FFFFFFFF"/>
      <name val="Aptos"/>
    </font>
    <font>
      <b/>
      <sz val="10.0"/>
      <color rgb="FF17324D"/>
      <name val="Aptos"/>
    </font>
    <font>
      <sz val="10.0"/>
      <color rgb="FF664D03"/>
      <name val="Aptos"/>
    </font>
    <font>
      <b/>
      <sz val="10.0"/>
      <color rgb="FF1F5E8C"/>
      <name val="Aptos"/>
    </font>
    <font>
      <sz val="10.0"/>
      <color rgb="FF243444"/>
      <name val="Aptos"/>
    </font>
    <font>
      <sz val="10.0"/>
      <color rgb="FF243444"/>
      <name val="Arial"/>
    </font>
    <font>
      <i/>
      <sz val="11.0"/>
      <color rgb="FF664D03"/>
      <name val="Aptos"/>
    </font>
    <font>
      <b/>
      <sz val="12.0"/>
      <color rgb="FFFFFFFF"/>
      <name val="Carlito"/>
    </font>
    <font>
      <sz val="11.0"/>
      <color rgb="FF17324D"/>
      <name val="Carlito"/>
    </font>
  </fonts>
  <fills count="9">
    <fill>
      <patternFill patternType="none"/>
    </fill>
    <fill>
      <patternFill patternType="lightGray"/>
    </fill>
    <fill>
      <patternFill patternType="solid">
        <fgColor rgb="FF17324D"/>
        <bgColor rgb="FF17324D"/>
      </patternFill>
    </fill>
    <fill>
      <patternFill patternType="solid">
        <fgColor rgb="FFEAF3F8"/>
        <bgColor rgb="FFEAF3F8"/>
      </patternFill>
    </fill>
    <fill>
      <patternFill patternType="solid">
        <fgColor rgb="FF1F5E8C"/>
        <bgColor rgb="FF1F5E8C"/>
      </patternFill>
    </fill>
    <fill>
      <patternFill patternType="solid">
        <fgColor rgb="FFF4F6F8"/>
        <bgColor rgb="FFF4F6F8"/>
      </patternFill>
    </fill>
    <fill>
      <patternFill patternType="solid">
        <fgColor rgb="FF087E8B"/>
        <bgColor rgb="FF087E8B"/>
      </patternFill>
    </fill>
    <fill>
      <patternFill patternType="solid">
        <fgColor rgb="FFFFF4CC"/>
        <bgColor rgb="FFFFF4CC"/>
      </patternFill>
    </fill>
    <fill>
      <patternFill patternType="solid">
        <fgColor rgb="FFE8F6F5"/>
        <bgColor rgb="FFE8F6F5"/>
      </patternFill>
    </fill>
  </fills>
  <borders count="29">
    <border/>
    <border>
      <right style="thin">
        <color rgb="FFFFFFFF"/>
      </right>
    </border>
    <border>
      <bottom style="thin">
        <color rgb="FFCBD5DF"/>
      </bottom>
    </border>
    <border>
      <left style="thin">
        <color rgb="FFFFFFFF"/>
      </left>
    </border>
    <border>
      <top style="thin">
        <color rgb="FFCBD5DF"/>
      </top>
      <bottom style="thin">
        <color rgb="FFCBD5DF"/>
      </bottom>
    </border>
    <border>
      <top style="thin">
        <color rgb="FFCBD5DF"/>
      </top>
    </border>
    <border>
      <left style="thin">
        <color rgb="FFCBD5DF"/>
      </left>
      <top style="thin">
        <color rgb="FFCBD5DF"/>
      </top>
    </border>
    <border>
      <right style="thin">
        <color rgb="FF6F8497"/>
      </right>
    </border>
    <border>
      <left style="thin">
        <color rgb="FF6F8497"/>
      </left>
      <right style="thin">
        <color rgb="FF6F8497"/>
      </right>
    </border>
    <border>
      <left style="thin">
        <color rgb="FFE6C75A"/>
      </left>
      <top style="thin">
        <color rgb="FFE6C75A"/>
      </top>
    </border>
    <border>
      <left style="thin">
        <color rgb="FF6F8497"/>
      </left>
    </border>
    <border>
      <bottom style="thin">
        <color rgb="FFE1E7EC"/>
      </bottom>
    </border>
    <border>
      <right style="thin">
        <color rgb="FFCBD5DF"/>
      </right>
      <top style="thin">
        <color rgb="FFCBD5DF"/>
      </top>
    </border>
    <border>
      <top style="thin">
        <color rgb="FFE6C75A"/>
      </top>
    </border>
    <border>
      <left style="thin">
        <color rgb="FFCBD5DF"/>
      </left>
      <bottom style="thin">
        <color rgb="FFCBD5DF"/>
      </bottom>
    </border>
    <border>
      <right style="thin">
        <color rgb="FFE6C75A"/>
      </right>
      <top style="thin">
        <color rgb="FFE6C75A"/>
      </top>
    </border>
    <border>
      <right style="thin">
        <color rgb="FFCBD5DF"/>
      </right>
      <bottom style="thin">
        <color rgb="FFCBD5DF"/>
      </bottom>
    </border>
    <border>
      <left style="thin">
        <color rgb="FFE6C75A"/>
      </left>
    </border>
    <border>
      <right style="thin">
        <color rgb="FFE6C75A"/>
      </right>
    </border>
    <border>
      <left style="thin">
        <color rgb="FFE6C75A"/>
      </left>
      <top style="thin">
        <color rgb="FFE6C75A"/>
      </top>
      <bottom style="thin">
        <color rgb="FFE6C75A"/>
      </bottom>
    </border>
    <border>
      <top style="thin">
        <color rgb="FFE6C75A"/>
      </top>
      <bottom style="thin">
        <color rgb="FFE6C75A"/>
      </bottom>
    </border>
    <border>
      <right style="thin">
        <color rgb="FFE6C75A"/>
      </right>
      <top style="thin">
        <color rgb="FFE6C75A"/>
      </top>
      <bottom style="thin">
        <color rgb="FFE6C75A"/>
      </bottom>
    </border>
    <border>
      <left style="thin">
        <color rgb="FFE6C75A"/>
      </left>
      <bottom style="thin">
        <color rgb="FFE6C75A"/>
      </bottom>
    </border>
    <border>
      <bottom style="thin">
        <color rgb="FFE6C75A"/>
      </bottom>
    </border>
    <border>
      <right style="thin">
        <color rgb="FFE6C75A"/>
      </right>
      <bottom style="thin">
        <color rgb="FFE6C75A"/>
      </bottom>
    </border>
    <border>
      <top style="thin">
        <color rgb="FFE1E7EC"/>
      </top>
      <bottom style="thin">
        <color rgb="FFE1E7EC"/>
      </bottom>
    </border>
    <border>
      <left style="thin">
        <color rgb="FFCBD5DF"/>
      </left>
    </border>
    <border>
      <right style="thin">
        <color rgb="FFCBD5DF"/>
      </right>
    </border>
    <border>
      <top style="thin">
        <color rgb="FFE1E7EC"/>
      </top>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ont="1">
      <alignment horizontal="left" vertical="center"/>
    </xf>
    <xf borderId="0" fillId="3" fontId="3" numFmtId="0" xfId="0" applyAlignment="1" applyFill="1" applyFont="1">
      <alignment shrinkToFit="0" vertical="center" wrapText="1"/>
    </xf>
    <xf borderId="0" fillId="0" fontId="4" numFmtId="0" xfId="0" applyFont="1"/>
    <xf borderId="0" fillId="2" fontId="5" numFmtId="0" xfId="0" applyAlignment="1" applyFont="1">
      <alignment shrinkToFit="0" vertical="center" wrapText="1"/>
    </xf>
    <xf borderId="0" fillId="4" fontId="6" numFmtId="0" xfId="0" applyAlignment="1" applyFill="1" applyFont="1">
      <alignment horizontal="center" vertical="center"/>
    </xf>
    <xf borderId="1" fillId="0" fontId="7" numFmtId="0" xfId="0" applyBorder="1" applyFont="1"/>
    <xf borderId="2" fillId="0" fontId="8" numFmtId="0" xfId="0" applyAlignment="1" applyBorder="1" applyFont="1">
      <alignment shrinkToFit="0" vertical="top" wrapText="1"/>
    </xf>
    <xf borderId="3" fillId="4" fontId="6" numFmtId="0" xfId="0" applyAlignment="1" applyBorder="1" applyFont="1">
      <alignment horizontal="center" vertical="center"/>
    </xf>
    <xf borderId="0" fillId="0" fontId="8" numFmtId="0" xfId="0" applyAlignment="1" applyFont="1">
      <alignment shrinkToFit="0" vertical="top" wrapText="1"/>
    </xf>
    <xf borderId="4" fillId="0" fontId="8" numFmtId="0" xfId="0" applyAlignment="1" applyBorder="1" applyFont="1">
      <alignment shrinkToFit="0" vertical="top" wrapText="1"/>
    </xf>
    <xf borderId="5" fillId="0" fontId="8" numFmtId="0" xfId="0" applyAlignment="1" applyBorder="1" applyFont="1">
      <alignment shrinkToFit="0" vertical="top" wrapText="1"/>
    </xf>
    <xf borderId="0" fillId="5" fontId="9" numFmtId="0" xfId="0" applyAlignment="1" applyFill="1" applyFont="1">
      <alignment vertical="center"/>
    </xf>
    <xf borderId="0" fillId="2" fontId="5" numFmtId="0" xfId="0" applyAlignment="1" applyFont="1">
      <alignment horizontal="center" shrinkToFit="0" vertical="center" wrapText="1"/>
    </xf>
    <xf borderId="6" fillId="3" fontId="10" numFmtId="0" xfId="0" applyAlignment="1" applyBorder="1" applyFont="1">
      <alignment horizontal="center" vertical="center"/>
    </xf>
    <xf borderId="7" fillId="2" fontId="11" numFmtId="0" xfId="0" applyAlignment="1" applyBorder="1" applyFont="1">
      <alignment horizontal="center" shrinkToFit="0" vertical="center" wrapText="1"/>
    </xf>
    <xf borderId="5" fillId="0" fontId="7" numFmtId="0" xfId="0" applyBorder="1" applyFont="1"/>
    <xf borderId="2" fillId="0" fontId="8" numFmtId="0" xfId="0" applyAlignment="1" applyBorder="1" applyFont="1">
      <alignment shrinkToFit="0" vertical="top" wrapText="1"/>
    </xf>
    <xf borderId="8" fillId="2" fontId="11" numFmtId="0" xfId="0" applyAlignment="1" applyBorder="1" applyFont="1">
      <alignment horizontal="center" shrinkToFit="0" vertical="center" wrapText="1"/>
    </xf>
    <xf borderId="5" fillId="3" fontId="10" numFmtId="0" xfId="0" applyAlignment="1" applyBorder="1" applyFont="1">
      <alignment horizontal="center" vertical="center"/>
    </xf>
    <xf borderId="0" fillId="6" fontId="12" numFmtId="0" xfId="0" applyAlignment="1" applyFill="1" applyFont="1">
      <alignment shrinkToFit="0" vertical="top" wrapText="1"/>
    </xf>
    <xf borderId="2" fillId="3" fontId="13" numFmtId="0" xfId="0" applyAlignment="1" applyBorder="1" applyFont="1">
      <alignment horizontal="center" shrinkToFit="0" vertical="center" wrapText="1"/>
    </xf>
    <xf borderId="9" fillId="7" fontId="14" numFmtId="0" xfId="0" applyAlignment="1" applyBorder="1" applyFill="1" applyFont="1">
      <alignment shrinkToFit="0" vertical="top" wrapText="1"/>
    </xf>
    <xf borderId="10" fillId="2" fontId="11" numFmtId="0" xfId="0" applyAlignment="1" applyBorder="1" applyFont="1">
      <alignment horizontal="center" shrinkToFit="0" vertical="center" wrapText="1"/>
    </xf>
    <xf borderId="4" fillId="0" fontId="8" numFmtId="0" xfId="0" applyAlignment="1" applyBorder="1" applyFont="1">
      <alignment shrinkToFit="0" vertical="top" wrapText="1"/>
    </xf>
    <xf borderId="5" fillId="3" fontId="10" numFmtId="9" xfId="0" applyAlignment="1" applyBorder="1" applyFont="1" applyNumberFormat="1">
      <alignment horizontal="center" vertical="center"/>
    </xf>
    <xf borderId="11" fillId="0" fontId="15" numFmtId="0" xfId="0" applyAlignment="1" applyBorder="1" applyFont="1">
      <alignment horizontal="center" shrinkToFit="0" vertical="top" wrapText="1"/>
    </xf>
    <xf borderId="12" fillId="0" fontId="7" numFmtId="0" xfId="0" applyBorder="1" applyFont="1"/>
    <xf borderId="11" fillId="0" fontId="16" numFmtId="0" xfId="0" applyAlignment="1" applyBorder="1" applyFont="1">
      <alignment shrinkToFit="0" vertical="top" wrapText="1"/>
    </xf>
    <xf borderId="13" fillId="0" fontId="7" numFmtId="0" xfId="0" applyBorder="1" applyFont="1"/>
    <xf borderId="14" fillId="0" fontId="7" numFmtId="0" xfId="0" applyBorder="1" applyFont="1"/>
    <xf borderId="11" fillId="0" fontId="17" numFmtId="0" xfId="0" applyAlignment="1" applyBorder="1" applyFont="1">
      <alignment readingOrder="0" shrinkToFit="0" vertical="top" wrapText="1"/>
    </xf>
    <xf borderId="2" fillId="0" fontId="7" numFmtId="0" xfId="0" applyBorder="1" applyFont="1"/>
    <xf borderId="15" fillId="0" fontId="7" numFmtId="0" xfId="0" applyBorder="1" applyFont="1"/>
    <xf borderId="4" fillId="3" fontId="13" numFmtId="0" xfId="0" applyAlignment="1" applyBorder="1" applyFont="1">
      <alignment horizontal="center" shrinkToFit="0" vertical="center" wrapText="1"/>
    </xf>
    <xf borderId="16" fillId="0" fontId="7" numFmtId="0" xfId="0" applyBorder="1" applyFont="1"/>
    <xf borderId="17" fillId="0" fontId="7" numFmtId="0" xfId="0" applyBorder="1" applyFont="1"/>
    <xf borderId="18" fillId="0" fontId="7" numFmtId="0" xfId="0" applyBorder="1" applyFont="1"/>
    <xf borderId="19" fillId="7" fontId="18" numFmtId="0" xfId="0" applyAlignment="1" applyBorder="1" applyFont="1">
      <alignment shrinkToFit="0" vertical="center" wrapText="1"/>
    </xf>
    <xf borderId="20" fillId="0" fontId="7" numFmtId="0" xfId="0" applyBorder="1" applyFont="1"/>
    <xf borderId="21" fillId="0" fontId="7" numFmtId="0" xfId="0" applyBorder="1" applyFont="1"/>
    <xf borderId="22" fillId="0" fontId="7" numFmtId="0" xfId="0" applyBorder="1" applyFont="1"/>
    <xf borderId="23" fillId="0" fontId="7" numFmtId="0" xfId="0" applyBorder="1" applyFont="1"/>
    <xf borderId="24" fillId="0" fontId="7" numFmtId="0" xfId="0" applyBorder="1" applyFont="1"/>
    <xf borderId="11" fillId="0" fontId="16" numFmtId="0" xfId="0" applyAlignment="1" applyBorder="1" applyFont="1">
      <alignment horizontal="center" shrinkToFit="0" vertical="top" wrapText="1"/>
    </xf>
    <xf borderId="0" fillId="6" fontId="12" numFmtId="0" xfId="0" applyAlignment="1" applyFont="1">
      <alignment vertical="center"/>
    </xf>
    <xf borderId="0" fillId="2" fontId="6" numFmtId="0" xfId="0" applyAlignment="1" applyFont="1">
      <alignment horizontal="center" shrinkToFit="0" wrapText="1"/>
    </xf>
    <xf borderId="11" fillId="7" fontId="17" numFmtId="0" xfId="0" applyAlignment="1" applyBorder="1" applyFont="1">
      <alignment readingOrder="0" shrinkToFit="0" vertical="top" wrapText="1"/>
    </xf>
    <xf borderId="2" fillId="0" fontId="4" numFmtId="0" xfId="0" applyAlignment="1" applyBorder="1" applyFont="1">
      <alignment vertical="center"/>
    </xf>
    <xf borderId="11" fillId="7" fontId="17" numFmtId="0" xfId="0" applyAlignment="1" applyBorder="1" applyFont="1">
      <alignment horizontal="center" readingOrder="0" shrinkToFit="0" vertical="top" wrapText="1"/>
    </xf>
    <xf borderId="11" fillId="7" fontId="16" numFmtId="164" xfId="0" applyAlignment="1" applyBorder="1" applyFont="1" applyNumberFormat="1">
      <alignment horizontal="center" shrinkToFit="0" vertical="top" wrapText="1"/>
    </xf>
    <xf borderId="2" fillId="0" fontId="4" numFmtId="0" xfId="0" applyAlignment="1" applyBorder="1" applyFont="1">
      <alignment horizontal="center" vertical="center"/>
    </xf>
    <xf borderId="11" fillId="7" fontId="16" numFmtId="0" xfId="0" applyAlignment="1" applyBorder="1" applyFont="1">
      <alignment shrinkToFit="0" vertical="top" wrapText="1"/>
    </xf>
    <xf borderId="25" fillId="0" fontId="15" numFmtId="0" xfId="0" applyAlignment="1" applyBorder="1" applyFont="1">
      <alignment horizontal="center" shrinkToFit="0" vertical="top" wrapText="1"/>
    </xf>
    <xf borderId="25" fillId="0" fontId="16" numFmtId="0" xfId="0" applyAlignment="1" applyBorder="1" applyFont="1">
      <alignment shrinkToFit="0" vertical="top" wrapText="1"/>
    </xf>
    <xf borderId="25" fillId="0" fontId="16" numFmtId="0" xfId="0" applyAlignment="1" applyBorder="1" applyFont="1">
      <alignment horizontal="center" shrinkToFit="0" vertical="top" wrapText="1"/>
    </xf>
    <xf borderId="25" fillId="7" fontId="17" numFmtId="0" xfId="0" applyAlignment="1" applyBorder="1" applyFont="1">
      <alignment readingOrder="0" shrinkToFit="0" vertical="top" wrapText="1"/>
    </xf>
    <xf borderId="25" fillId="7" fontId="17" numFmtId="0" xfId="0" applyAlignment="1" applyBorder="1" applyFont="1">
      <alignment horizontal="center" readingOrder="0" shrinkToFit="0" vertical="top" wrapText="1"/>
    </xf>
    <xf borderId="25" fillId="7" fontId="16" numFmtId="164" xfId="0" applyAlignment="1" applyBorder="1" applyFont="1" applyNumberFormat="1">
      <alignment horizontal="center" shrinkToFit="0" vertical="top" wrapText="1"/>
    </xf>
    <xf borderId="25" fillId="7" fontId="16" numFmtId="0" xfId="0" applyAlignment="1" applyBorder="1" applyFont="1">
      <alignment shrinkToFit="0" vertical="top" wrapText="1"/>
    </xf>
    <xf borderId="2" fillId="0" fontId="4" numFmtId="9" xfId="0" applyAlignment="1" applyBorder="1" applyFont="1" applyNumberFormat="1">
      <alignment horizontal="center" vertical="center"/>
    </xf>
    <xf borderId="4" fillId="0" fontId="4" numFmtId="0" xfId="0" applyAlignment="1" applyBorder="1" applyFont="1">
      <alignment vertical="center"/>
    </xf>
    <xf borderId="4" fillId="0" fontId="4" numFmtId="0" xfId="0" applyAlignment="1" applyBorder="1" applyFont="1">
      <alignment horizontal="center" vertical="center"/>
    </xf>
    <xf borderId="5" fillId="0" fontId="8" numFmtId="0" xfId="0" applyAlignment="1" applyBorder="1" applyFont="1">
      <alignment shrinkToFit="0" vertical="top" wrapText="1"/>
    </xf>
    <xf borderId="4" fillId="0" fontId="4" numFmtId="9" xfId="0" applyAlignment="1" applyBorder="1" applyFont="1" applyNumberFormat="1">
      <alignment horizontal="center" vertical="center"/>
    </xf>
    <xf borderId="5" fillId="3" fontId="13" numFmtId="0" xfId="0" applyAlignment="1" applyBorder="1" applyFont="1">
      <alignment horizontal="center" shrinkToFit="0" vertical="center" wrapText="1"/>
    </xf>
    <xf borderId="0" fillId="6" fontId="19" numFmtId="0" xfId="0" applyFont="1"/>
    <xf borderId="6" fillId="8" fontId="20" numFmtId="0" xfId="0" applyAlignment="1" applyBorder="1" applyFill="1" applyFont="1">
      <alignment shrinkToFit="0" vertical="top" wrapText="1"/>
    </xf>
    <xf borderId="26" fillId="0" fontId="7" numFmtId="0" xfId="0" applyBorder="1" applyFont="1"/>
    <xf borderId="27" fillId="0" fontId="7" numFmtId="0" xfId="0" applyBorder="1" applyFont="1"/>
    <xf borderId="25" fillId="0" fontId="17" numFmtId="0" xfId="0" applyAlignment="1" applyBorder="1" applyFont="1">
      <alignment readingOrder="0" shrinkToFit="0" vertical="top" wrapText="1"/>
    </xf>
    <xf borderId="0" fillId="6" fontId="12" numFmtId="0" xfId="0" applyFont="1"/>
    <xf borderId="6" fillId="8" fontId="3" numFmtId="0" xfId="0" applyAlignment="1" applyBorder="1" applyFont="1">
      <alignment shrinkToFit="0" vertical="top" wrapText="1"/>
    </xf>
    <xf borderId="28" fillId="0" fontId="15" numFmtId="0" xfId="0" applyAlignment="1" applyBorder="1" applyFont="1">
      <alignment horizontal="center" shrinkToFit="0" vertical="top" wrapText="1"/>
    </xf>
    <xf borderId="28" fillId="0" fontId="16" numFmtId="0" xfId="0" applyAlignment="1" applyBorder="1" applyFont="1">
      <alignment shrinkToFit="0" vertical="top" wrapText="1"/>
    </xf>
    <xf borderId="28" fillId="0" fontId="16" numFmtId="0" xfId="0" applyAlignment="1" applyBorder="1" applyFont="1">
      <alignment horizontal="center" shrinkToFit="0" vertical="top" wrapText="1"/>
    </xf>
    <xf borderId="28" fillId="7" fontId="17" numFmtId="0" xfId="0" applyAlignment="1" applyBorder="1" applyFont="1">
      <alignment readingOrder="0" shrinkToFit="0" vertical="top" wrapText="1"/>
    </xf>
    <xf borderId="28" fillId="7" fontId="16" numFmtId="0" xfId="0" applyAlignment="1" applyBorder="1" applyFont="1">
      <alignment shrinkToFit="0" vertical="top" wrapText="1"/>
    </xf>
    <xf borderId="28" fillId="7" fontId="17" numFmtId="0" xfId="0" applyAlignment="1" applyBorder="1" applyFont="1">
      <alignment horizontal="center" readingOrder="0" shrinkToFit="0" vertical="top" wrapText="1"/>
    </xf>
    <xf borderId="28" fillId="7" fontId="16" numFmtId="164" xfId="0" applyAlignment="1" applyBorder="1" applyFont="1" applyNumberFormat="1">
      <alignment horizontal="center" shrinkToFit="0" vertical="top"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b/>
        <color rgb="FF9C1C1C"/>
      </font>
      <fill>
        <patternFill patternType="solid">
          <fgColor rgb="FFFCE8E6"/>
          <bgColor rgb="FFFCE8E6"/>
        </patternFill>
      </fill>
      <border/>
    </dxf>
    <dxf>
      <font>
        <b/>
        <color rgb="FF1B5E20"/>
      </font>
      <fill>
        <patternFill patternType="solid">
          <fgColor rgb="FFE8F5E9"/>
          <bgColor rgb="FFE8F5E9"/>
        </patternFill>
      </fill>
      <border/>
    </dxf>
    <dxf>
      <font>
        <b/>
        <color rgb="FF1F5E8C"/>
      </font>
      <fill>
        <patternFill patternType="solid">
          <fgColor rgb="FFEAF3F8"/>
          <bgColor rgb="FFEAF3F8"/>
        </patternFill>
      </fill>
      <border/>
    </dxf>
  </dxfs>
  <tableStyles count="2">
    <tableStyle count="3" pivot="0" name="Questions-style">
      <tableStyleElement dxfId="1" type="headerRow"/>
      <tableStyleElement dxfId="2" type="firstRowStripe"/>
      <tableStyleElement dxfId="3" type="secondRowStripe"/>
    </tableStyle>
    <tableStyle count="3" pivot="0" name="Stakeholder Routin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N77" displayName="Table_1" name="Table_1" id="1">
  <tableColumns count="14">
    <tableColumn name="ID" id="1"/>
    <tableColumn name="Theme" id="2"/>
    <tableColumn name="Clarifying question" id="3"/>
    <tableColumn name="Decision / recommended default" id="4"/>
    <tableColumn name="Primary stakeholder" id="5"/>
    <tableColumn name="Supporting stakeholders" id="6"/>
    <tableColumn name="Priority" id="7"/>
    <tableColumn name="Blocking?" id="8"/>
    <tableColumn name="Why it matters" id="9"/>
    <tableColumn name="Response / decision" id="10"/>
    <tableColumn name="Decision owner" id="11"/>
    <tableColumn name="Status" id="12"/>
    <tableColumn name="Due date" id="13"/>
    <tableColumn name="Notes / follow-up" id="14"/>
  </tableColumns>
  <tableStyleInfo name="Questions-style" showColumnStripes="0" showFirstColumn="1" showLastColumn="1" showRowStripes="1"/>
</table>
</file>

<file path=xl/tables/table2.xml><?xml version="1.0" encoding="utf-8"?>
<table xmlns="http://schemas.openxmlformats.org/spreadsheetml/2006/main" ref="A4:F13" displayName="Table_2" name="Table_2" id="2">
  <tableColumns count="6">
    <tableColumn name="Stakeholder" id="1"/>
    <tableColumn name="Primary focus" id="2"/>
    <tableColumn name="Input expected" id="3"/>
    <tableColumn name="Primary questions" id="4"/>
    <tableColumn name="Blocking questions" id="5"/>
    <tableColumn name="Suggested accountable role" id="6"/>
  </tableColumns>
  <tableStyleInfo name="Stakeholder Rou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8" width="14.0"/>
    <col customWidth="1" min="9" max="26" width="8.63"/>
  </cols>
  <sheetData>
    <row r="1" ht="33.75" customHeight="1">
      <c r="A1" s="1" t="s">
        <v>0</v>
      </c>
    </row>
    <row r="2" ht="30.0" customHeight="1">
      <c r="A2" s="3" t="s">
        <v>2</v>
      </c>
    </row>
    <row r="3">
      <c r="A3" s="4"/>
      <c r="B3" s="4"/>
      <c r="C3" s="4"/>
      <c r="D3" s="4"/>
      <c r="E3" s="4"/>
      <c r="F3" s="4"/>
      <c r="G3" s="4"/>
      <c r="H3" s="4"/>
    </row>
    <row r="4">
      <c r="A4" s="6" t="s">
        <v>8</v>
      </c>
      <c r="B4" s="7"/>
      <c r="C4" s="9" t="s">
        <v>12</v>
      </c>
      <c r="D4" s="7"/>
      <c r="E4" s="9" t="s">
        <v>14</v>
      </c>
      <c r="F4" s="7"/>
      <c r="G4" s="9" t="s">
        <v>16</v>
      </c>
      <c r="H4" s="7"/>
    </row>
    <row r="5">
      <c r="A5" s="15">
        <f>COUNTIF(Questions!$A$6:$A$77,"&lt;&gt;")</f>
        <v>72</v>
      </c>
      <c r="B5" s="17"/>
      <c r="C5" s="20">
        <f>COUNTIF(Questions!$H$6:$H$77,"Yes")</f>
        <v>38</v>
      </c>
      <c r="D5" s="17"/>
      <c r="E5" s="20">
        <f>COUNTIF(Questions!$L$6:$L$77,"Decided")</f>
        <v>72</v>
      </c>
      <c r="F5" s="17"/>
      <c r="G5" s="26">
        <f>IFERROR(E5/A5,0)</f>
        <v>1</v>
      </c>
      <c r="H5" s="28"/>
    </row>
    <row r="6">
      <c r="A6" s="31"/>
      <c r="B6" s="33"/>
      <c r="C6" s="33"/>
      <c r="D6" s="33"/>
      <c r="E6" s="33"/>
      <c r="F6" s="33"/>
      <c r="G6" s="33"/>
      <c r="H6" s="36"/>
    </row>
    <row r="7">
      <c r="A7" s="4"/>
      <c r="B7" s="4"/>
      <c r="C7" s="4"/>
      <c r="D7" s="4"/>
      <c r="E7" s="4"/>
      <c r="F7" s="4"/>
      <c r="G7" s="4"/>
      <c r="H7" s="4"/>
    </row>
    <row r="8" ht="42.0" customHeight="1">
      <c r="A8" s="39" t="s">
        <v>77</v>
      </c>
      <c r="B8" s="40"/>
      <c r="C8" s="40"/>
      <c r="D8" s="40"/>
      <c r="E8" s="40"/>
      <c r="F8" s="40"/>
      <c r="G8" s="40"/>
      <c r="H8" s="41"/>
    </row>
    <row r="9">
      <c r="A9" s="4"/>
      <c r="B9" s="4"/>
      <c r="C9" s="4"/>
      <c r="D9" s="4"/>
      <c r="E9" s="4"/>
      <c r="F9" s="4"/>
      <c r="G9" s="4"/>
      <c r="H9" s="4"/>
    </row>
    <row r="10">
      <c r="A10" s="46" t="s">
        <v>83</v>
      </c>
      <c r="H10" s="4"/>
    </row>
    <row r="11">
      <c r="A11" s="47" t="s">
        <v>48</v>
      </c>
      <c r="B11" s="47" t="s">
        <v>87</v>
      </c>
      <c r="C11" s="47" t="s">
        <v>15</v>
      </c>
      <c r="D11" s="47" t="s">
        <v>89</v>
      </c>
      <c r="E11" s="47" t="s">
        <v>14</v>
      </c>
      <c r="F11" s="47" t="s">
        <v>90</v>
      </c>
      <c r="G11" s="47" t="s">
        <v>91</v>
      </c>
      <c r="H11" s="4"/>
    </row>
    <row r="12">
      <c r="A12" s="49" t="s">
        <v>70</v>
      </c>
      <c r="B12" s="52">
        <f>COUNTIF(Questions!$B$6:$B$77,A12)</f>
        <v>6</v>
      </c>
      <c r="C12" s="52">
        <f>COUNTIFS(Questions!$B$6:$B$77,A12,Questions!$G$6:$G$77,"Critical")</f>
        <v>3</v>
      </c>
      <c r="D12" s="52">
        <f>COUNTIFS(Questions!$B$6:$B$77,A12,Questions!$H$6:$H$77,"Yes")</f>
        <v>3</v>
      </c>
      <c r="E12" s="52">
        <f>COUNTIFS(Questions!$B$6:$B$77,A12,Questions!$L$6:$L$77,"Decided")</f>
        <v>6</v>
      </c>
      <c r="F12" s="52">
        <f t="shared" ref="F12:F22" si="1">B12-E12</f>
        <v>0</v>
      </c>
      <c r="G12" s="61">
        <f t="shared" ref="G12:G22" si="2">IFERROR(E12/B12,0)</f>
        <v>1</v>
      </c>
      <c r="H12" s="4"/>
    </row>
    <row r="13">
      <c r="A13" s="62" t="s">
        <v>39</v>
      </c>
      <c r="B13" s="63">
        <f>COUNTIF(Questions!$B$6:$B$77,A13)</f>
        <v>7</v>
      </c>
      <c r="C13" s="63">
        <f>COUNTIFS(Questions!$B$6:$B$77,A13,Questions!$G$6:$G$77,"Critical")</f>
        <v>4</v>
      </c>
      <c r="D13" s="63">
        <f>COUNTIFS(Questions!$B$6:$B$77,A13,Questions!$H$6:$H$77,"Yes")</f>
        <v>4</v>
      </c>
      <c r="E13" s="63">
        <f>COUNTIFS(Questions!$B$6:$B$77,A13,Questions!$L$6:$L$77,"Decided")</f>
        <v>7</v>
      </c>
      <c r="F13" s="63">
        <f t="shared" si="1"/>
        <v>0</v>
      </c>
      <c r="G13" s="65">
        <f t="shared" si="2"/>
        <v>1</v>
      </c>
      <c r="H13" s="4"/>
    </row>
    <row r="14">
      <c r="A14" s="62" t="s">
        <v>121</v>
      </c>
      <c r="B14" s="63">
        <f>COUNTIF(Questions!$B$6:$B$77,A14)</f>
        <v>7</v>
      </c>
      <c r="C14" s="63">
        <f>COUNTIFS(Questions!$B$6:$B$77,A14,Questions!$G$6:$G$77,"Critical")</f>
        <v>3</v>
      </c>
      <c r="D14" s="63">
        <f>COUNTIFS(Questions!$B$6:$B$77,A14,Questions!$H$6:$H$77,"Yes")</f>
        <v>3</v>
      </c>
      <c r="E14" s="63">
        <f>COUNTIFS(Questions!$B$6:$B$77,A14,Questions!$L$6:$L$77,"Decided")</f>
        <v>7</v>
      </c>
      <c r="F14" s="63">
        <f t="shared" si="1"/>
        <v>0</v>
      </c>
      <c r="G14" s="65">
        <f t="shared" si="2"/>
        <v>1</v>
      </c>
      <c r="H14" s="4"/>
    </row>
    <row r="15">
      <c r="A15" s="62" t="s">
        <v>135</v>
      </c>
      <c r="B15" s="63">
        <f>COUNTIF(Questions!$B$6:$B$77,A15)</f>
        <v>6</v>
      </c>
      <c r="C15" s="63">
        <f>COUNTIFS(Questions!$B$6:$B$77,A15,Questions!$G$6:$G$77,"Critical")</f>
        <v>2</v>
      </c>
      <c r="D15" s="63">
        <f>COUNTIFS(Questions!$B$6:$B$77,A15,Questions!$H$6:$H$77,"Yes")</f>
        <v>2</v>
      </c>
      <c r="E15" s="63">
        <f>COUNTIFS(Questions!$B$6:$B$77,A15,Questions!$L$6:$L$77,"Decided")</f>
        <v>6</v>
      </c>
      <c r="F15" s="63">
        <f t="shared" si="1"/>
        <v>0</v>
      </c>
      <c r="G15" s="65">
        <f t="shared" si="2"/>
        <v>1</v>
      </c>
      <c r="H15" s="4"/>
    </row>
    <row r="16">
      <c r="A16" s="62" t="s">
        <v>144</v>
      </c>
      <c r="B16" s="63">
        <f>COUNTIF(Questions!$B$6:$B$77,A16)</f>
        <v>6</v>
      </c>
      <c r="C16" s="63">
        <f>COUNTIFS(Questions!$B$6:$B$77,A16,Questions!$G$6:$G$77,"Critical")</f>
        <v>5</v>
      </c>
      <c r="D16" s="63">
        <f>COUNTIFS(Questions!$B$6:$B$77,A16,Questions!$H$6:$H$77,"Yes")</f>
        <v>5</v>
      </c>
      <c r="E16" s="63">
        <f>COUNTIFS(Questions!$B$6:$B$77,A16,Questions!$L$6:$L$77,"Decided")</f>
        <v>6</v>
      </c>
      <c r="F16" s="63">
        <f t="shared" si="1"/>
        <v>0</v>
      </c>
      <c r="G16" s="65">
        <f t="shared" si="2"/>
        <v>1</v>
      </c>
      <c r="H16" s="4"/>
    </row>
    <row r="17">
      <c r="A17" s="62" t="s">
        <v>154</v>
      </c>
      <c r="B17" s="63">
        <f>COUNTIF(Questions!$B$6:$B$77,A17)</f>
        <v>8</v>
      </c>
      <c r="C17" s="63">
        <f>COUNTIFS(Questions!$B$6:$B$77,A17,Questions!$G$6:$G$77,"Critical")</f>
        <v>7</v>
      </c>
      <c r="D17" s="63">
        <f>COUNTIFS(Questions!$B$6:$B$77,A17,Questions!$H$6:$H$77,"Yes")</f>
        <v>7</v>
      </c>
      <c r="E17" s="63">
        <f>COUNTIFS(Questions!$B$6:$B$77,A17,Questions!$L$6:$L$77,"Decided")</f>
        <v>8</v>
      </c>
      <c r="F17" s="63">
        <f t="shared" si="1"/>
        <v>0</v>
      </c>
      <c r="G17" s="65">
        <f t="shared" si="2"/>
        <v>1</v>
      </c>
      <c r="H17" s="4"/>
    </row>
    <row r="18">
      <c r="A18" s="62" t="s">
        <v>162</v>
      </c>
      <c r="B18" s="63">
        <f>COUNTIF(Questions!$B$6:$B$77,A18)</f>
        <v>8</v>
      </c>
      <c r="C18" s="63">
        <f>COUNTIFS(Questions!$B$6:$B$77,A18,Questions!$G$6:$G$77,"Critical")</f>
        <v>5</v>
      </c>
      <c r="D18" s="63">
        <f>COUNTIFS(Questions!$B$6:$B$77,A18,Questions!$H$6:$H$77,"Yes")</f>
        <v>5</v>
      </c>
      <c r="E18" s="63">
        <f>COUNTIFS(Questions!$B$6:$B$77,A18,Questions!$L$6:$L$77,"Decided")</f>
        <v>8</v>
      </c>
      <c r="F18" s="63">
        <f t="shared" si="1"/>
        <v>0</v>
      </c>
      <c r="G18" s="65">
        <f t="shared" si="2"/>
        <v>1</v>
      </c>
      <c r="H18" s="4"/>
    </row>
    <row r="19">
      <c r="A19" s="62" t="s">
        <v>174</v>
      </c>
      <c r="B19" s="63">
        <f>COUNTIF(Questions!$B$6:$B$77,A19)</f>
        <v>6</v>
      </c>
      <c r="C19" s="63">
        <f>COUNTIFS(Questions!$B$6:$B$77,A19,Questions!$G$6:$G$77,"Critical")</f>
        <v>5</v>
      </c>
      <c r="D19" s="63">
        <f>COUNTIFS(Questions!$B$6:$B$77,A19,Questions!$H$6:$H$77,"Yes")</f>
        <v>5</v>
      </c>
      <c r="E19" s="63">
        <f>COUNTIFS(Questions!$B$6:$B$77,A19,Questions!$L$6:$L$77,"Decided")</f>
        <v>6</v>
      </c>
      <c r="F19" s="63">
        <f t="shared" si="1"/>
        <v>0</v>
      </c>
      <c r="G19" s="65">
        <f t="shared" si="2"/>
        <v>1</v>
      </c>
      <c r="H19" s="4"/>
    </row>
    <row r="20">
      <c r="A20" s="62" t="s">
        <v>183</v>
      </c>
      <c r="B20" s="63">
        <f>COUNTIF(Questions!$B$6:$B$77,A20)</f>
        <v>5</v>
      </c>
      <c r="C20" s="63">
        <f>COUNTIFS(Questions!$B$6:$B$77,A20,Questions!$G$6:$G$77,"Critical")</f>
        <v>1</v>
      </c>
      <c r="D20" s="63">
        <f>COUNTIFS(Questions!$B$6:$B$77,A20,Questions!$H$6:$H$77,"Yes")</f>
        <v>1</v>
      </c>
      <c r="E20" s="63">
        <f>COUNTIFS(Questions!$B$6:$B$77,A20,Questions!$L$6:$L$77,"Decided")</f>
        <v>5</v>
      </c>
      <c r="F20" s="63">
        <f t="shared" si="1"/>
        <v>0</v>
      </c>
      <c r="G20" s="65">
        <f t="shared" si="2"/>
        <v>1</v>
      </c>
      <c r="H20" s="4"/>
    </row>
    <row r="21" ht="15.75" customHeight="1">
      <c r="A21" s="62" t="s">
        <v>193</v>
      </c>
      <c r="B21" s="63">
        <f>COUNTIF(Questions!$B$6:$B$77,A21)</f>
        <v>7</v>
      </c>
      <c r="C21" s="63">
        <f>COUNTIFS(Questions!$B$6:$B$77,A21,Questions!$G$6:$G$77,"Critical")</f>
        <v>2</v>
      </c>
      <c r="D21" s="63">
        <f>COUNTIFS(Questions!$B$6:$B$77,A21,Questions!$H$6:$H$77,"Yes")</f>
        <v>2</v>
      </c>
      <c r="E21" s="63">
        <f>COUNTIFS(Questions!$B$6:$B$77,A21,Questions!$L$6:$L$77,"Decided")</f>
        <v>7</v>
      </c>
      <c r="F21" s="63">
        <f t="shared" si="1"/>
        <v>0</v>
      </c>
      <c r="G21" s="65">
        <f t="shared" si="2"/>
        <v>1</v>
      </c>
      <c r="H21" s="4"/>
    </row>
    <row r="22" ht="15.75" customHeight="1">
      <c r="A22" s="62" t="s">
        <v>202</v>
      </c>
      <c r="B22" s="63">
        <f>COUNTIF(Questions!$B$6:$B$77,A22)</f>
        <v>6</v>
      </c>
      <c r="C22" s="63">
        <f>COUNTIFS(Questions!$B$6:$B$77,A22,Questions!$G$6:$G$77,"Critical")</f>
        <v>1</v>
      </c>
      <c r="D22" s="63">
        <f>COUNTIFS(Questions!$B$6:$B$77,A22,Questions!$H$6:$H$77,"Yes")</f>
        <v>1</v>
      </c>
      <c r="E22" s="63">
        <f>COUNTIFS(Questions!$B$6:$B$77,A22,Questions!$L$6:$L$77,"Decided")</f>
        <v>6</v>
      </c>
      <c r="F22" s="63">
        <f t="shared" si="1"/>
        <v>0</v>
      </c>
      <c r="G22" s="65">
        <f t="shared" si="2"/>
        <v>1</v>
      </c>
      <c r="H22" s="4"/>
    </row>
    <row r="23" ht="15.75" customHeight="1">
      <c r="A23" s="4"/>
      <c r="B23" s="4"/>
      <c r="C23" s="4"/>
      <c r="D23" s="4"/>
      <c r="E23" s="4"/>
      <c r="F23" s="4"/>
      <c r="G23" s="4"/>
      <c r="H23" s="4"/>
    </row>
    <row r="24" ht="15.75" customHeight="1">
      <c r="A24" s="72" t="s">
        <v>214</v>
      </c>
      <c r="H24" s="4"/>
    </row>
    <row r="25" ht="24.0" customHeight="1">
      <c r="A25" s="73" t="s">
        <v>216</v>
      </c>
      <c r="B25" s="17"/>
      <c r="C25" s="17"/>
      <c r="D25" s="17"/>
      <c r="E25" s="17"/>
      <c r="F25" s="17"/>
      <c r="G25" s="28"/>
      <c r="H25" s="4"/>
    </row>
    <row r="26" ht="24.0" customHeight="1">
      <c r="A26" s="69"/>
      <c r="G26" s="70"/>
      <c r="H26" s="4"/>
    </row>
    <row r="27" ht="24.0" customHeight="1">
      <c r="A27" s="69"/>
      <c r="G27" s="70"/>
      <c r="H27" s="4"/>
    </row>
    <row r="28" ht="24.0" customHeight="1">
      <c r="A28" s="31"/>
      <c r="B28" s="33"/>
      <c r="C28" s="33"/>
      <c r="D28" s="33"/>
      <c r="E28" s="33"/>
      <c r="F28" s="33"/>
      <c r="G28" s="36"/>
      <c r="H28" s="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C5:D6"/>
    <mergeCell ref="E5:F6"/>
    <mergeCell ref="G5:H6"/>
    <mergeCell ref="A8:H8"/>
    <mergeCell ref="A10:G10"/>
    <mergeCell ref="A24:G24"/>
    <mergeCell ref="A25:G28"/>
    <mergeCell ref="A1:H1"/>
    <mergeCell ref="A2:H2"/>
    <mergeCell ref="A4:B4"/>
    <mergeCell ref="C4:D4"/>
    <mergeCell ref="E4:F4"/>
    <mergeCell ref="G4:H4"/>
    <mergeCell ref="A5:B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0"/>
    <col customWidth="1" min="2" max="2" width="26.0"/>
    <col customWidth="1" min="3" max="4" width="48.0"/>
    <col customWidth="1" min="5" max="5" width="26.0"/>
    <col customWidth="1" min="6" max="6" width="38.0"/>
    <col customWidth="1" min="7" max="7" width="11.0"/>
    <col customWidth="1" min="8" max="8" width="10.0"/>
    <col customWidth="1" min="9" max="9" width="38.0"/>
    <col customWidth="1" min="10" max="10" width="42.0"/>
    <col customWidth="1" min="11" max="11" width="23.0"/>
    <col customWidth="1" min="12" max="12" width="14.0"/>
    <col customWidth="1" min="13" max="13" width="13.0"/>
    <col customWidth="1" min="14" max="14" width="38.0"/>
    <col customWidth="1" min="15" max="26" width="8.63"/>
  </cols>
  <sheetData>
    <row r="1" ht="33.75" customHeight="1">
      <c r="A1" s="2" t="s">
        <v>28</v>
      </c>
    </row>
    <row r="2" ht="30.0" customHeight="1">
      <c r="A2" s="3" t="s">
        <v>33</v>
      </c>
    </row>
    <row r="3">
      <c r="A3" s="13" t="s">
        <v>35</v>
      </c>
    </row>
    <row r="5" ht="37.5" customHeight="1">
      <c r="A5" s="16" t="s">
        <v>40</v>
      </c>
      <c r="B5" s="19" t="s">
        <v>48</v>
      </c>
      <c r="C5" s="19" t="s">
        <v>52</v>
      </c>
      <c r="D5" s="19" t="s">
        <v>53</v>
      </c>
      <c r="E5" s="19" t="s">
        <v>54</v>
      </c>
      <c r="F5" s="19" t="s">
        <v>56</v>
      </c>
      <c r="G5" s="19" t="s">
        <v>6</v>
      </c>
      <c r="H5" s="19" t="s">
        <v>7</v>
      </c>
      <c r="I5" s="19" t="s">
        <v>59</v>
      </c>
      <c r="J5" s="19" t="s">
        <v>60</v>
      </c>
      <c r="K5" s="19" t="s">
        <v>62</v>
      </c>
      <c r="L5" s="19" t="s">
        <v>4</v>
      </c>
      <c r="M5" s="19" t="s">
        <v>65</v>
      </c>
      <c r="N5" s="24" t="s">
        <v>66</v>
      </c>
    </row>
    <row r="6" ht="63.75" customHeight="1">
      <c r="A6" s="27" t="s">
        <v>68</v>
      </c>
      <c r="B6" s="29" t="s">
        <v>70</v>
      </c>
      <c r="C6" s="29" t="s">
        <v>71</v>
      </c>
      <c r="D6" s="32" t="s">
        <v>72</v>
      </c>
      <c r="E6" s="29" t="s">
        <v>20</v>
      </c>
      <c r="F6" s="29" t="s">
        <v>82</v>
      </c>
      <c r="G6" s="45" t="s">
        <v>15</v>
      </c>
      <c r="H6" s="45" t="s">
        <v>18</v>
      </c>
      <c r="I6" s="29" t="s">
        <v>86</v>
      </c>
      <c r="J6" s="48" t="s">
        <v>88</v>
      </c>
      <c r="K6" s="48" t="s">
        <v>92</v>
      </c>
      <c r="L6" s="50" t="s">
        <v>14</v>
      </c>
      <c r="M6" s="51"/>
      <c r="N6" s="53"/>
    </row>
    <row r="7" ht="63.75" customHeight="1">
      <c r="A7" s="54" t="s">
        <v>95</v>
      </c>
      <c r="B7" s="55" t="s">
        <v>70</v>
      </c>
      <c r="C7" s="55" t="s">
        <v>96</v>
      </c>
      <c r="D7" s="55" t="s">
        <v>97</v>
      </c>
      <c r="E7" s="55" t="s">
        <v>20</v>
      </c>
      <c r="F7" s="55" t="s">
        <v>99</v>
      </c>
      <c r="G7" s="56" t="s">
        <v>24</v>
      </c>
      <c r="H7" s="56" t="s">
        <v>26</v>
      </c>
      <c r="I7" s="55" t="s">
        <v>100</v>
      </c>
      <c r="J7" s="57" t="s">
        <v>102</v>
      </c>
      <c r="K7" s="57" t="s">
        <v>103</v>
      </c>
      <c r="L7" s="58" t="s">
        <v>14</v>
      </c>
      <c r="M7" s="59"/>
      <c r="N7" s="60"/>
    </row>
    <row r="8" ht="63.75" customHeight="1">
      <c r="A8" s="54" t="s">
        <v>104</v>
      </c>
      <c r="B8" s="55" t="s">
        <v>70</v>
      </c>
      <c r="C8" s="55" t="s">
        <v>107</v>
      </c>
      <c r="D8" s="55" t="s">
        <v>108</v>
      </c>
      <c r="E8" s="55" t="s">
        <v>20</v>
      </c>
      <c r="F8" s="55" t="s">
        <v>109</v>
      </c>
      <c r="G8" s="56" t="s">
        <v>24</v>
      </c>
      <c r="H8" s="56" t="s">
        <v>26</v>
      </c>
      <c r="I8" s="55" t="s">
        <v>111</v>
      </c>
      <c r="J8" s="57" t="s">
        <v>112</v>
      </c>
      <c r="K8" s="60"/>
      <c r="L8" s="58" t="s">
        <v>14</v>
      </c>
      <c r="M8" s="59"/>
      <c r="N8" s="60"/>
    </row>
    <row r="9" ht="63.75" customHeight="1">
      <c r="A9" s="54" t="s">
        <v>114</v>
      </c>
      <c r="B9" s="55" t="s">
        <v>70</v>
      </c>
      <c r="C9" s="55" t="s">
        <v>115</v>
      </c>
      <c r="D9" s="55" t="s">
        <v>116</v>
      </c>
      <c r="E9" s="55" t="s">
        <v>55</v>
      </c>
      <c r="F9" s="55" t="s">
        <v>118</v>
      </c>
      <c r="G9" s="56" t="s">
        <v>15</v>
      </c>
      <c r="H9" s="56" t="s">
        <v>18</v>
      </c>
      <c r="I9" s="55" t="s">
        <v>119</v>
      </c>
      <c r="J9" s="57" t="s">
        <v>120</v>
      </c>
      <c r="K9" s="60"/>
      <c r="L9" s="58" t="s">
        <v>14</v>
      </c>
      <c r="M9" s="59"/>
      <c r="N9" s="60"/>
    </row>
    <row r="10" ht="63.75" customHeight="1">
      <c r="A10" s="54" t="s">
        <v>123</v>
      </c>
      <c r="B10" s="55" t="s">
        <v>70</v>
      </c>
      <c r="C10" s="55" t="s">
        <v>124</v>
      </c>
      <c r="D10" s="55" t="s">
        <v>125</v>
      </c>
      <c r="E10" s="55" t="s">
        <v>20</v>
      </c>
      <c r="F10" s="55" t="s">
        <v>126</v>
      </c>
      <c r="G10" s="56" t="s">
        <v>24</v>
      </c>
      <c r="H10" s="56" t="s">
        <v>26</v>
      </c>
      <c r="I10" s="55" t="s">
        <v>127</v>
      </c>
      <c r="J10" s="57" t="s">
        <v>128</v>
      </c>
      <c r="K10" s="60"/>
      <c r="L10" s="58" t="s">
        <v>14</v>
      </c>
      <c r="M10" s="59"/>
      <c r="N10" s="60"/>
    </row>
    <row r="11" ht="63.75" customHeight="1">
      <c r="A11" s="54" t="s">
        <v>131</v>
      </c>
      <c r="B11" s="55" t="s">
        <v>70</v>
      </c>
      <c r="C11" s="55" t="s">
        <v>133</v>
      </c>
      <c r="D11" s="55" t="s">
        <v>134</v>
      </c>
      <c r="E11" s="55" t="s">
        <v>55</v>
      </c>
      <c r="F11" s="55" t="s">
        <v>136</v>
      </c>
      <c r="G11" s="56" t="s">
        <v>15</v>
      </c>
      <c r="H11" s="56" t="s">
        <v>18</v>
      </c>
      <c r="I11" s="55" t="s">
        <v>137</v>
      </c>
      <c r="J11" s="57" t="s">
        <v>138</v>
      </c>
      <c r="K11" s="60"/>
      <c r="L11" s="58" t="s">
        <v>14</v>
      </c>
      <c r="M11" s="59"/>
      <c r="N11" s="60"/>
    </row>
    <row r="12" ht="63.75" customHeight="1">
      <c r="A12" s="54" t="s">
        <v>139</v>
      </c>
      <c r="B12" s="55" t="s">
        <v>39</v>
      </c>
      <c r="C12" s="55" t="s">
        <v>140</v>
      </c>
      <c r="D12" s="55" t="s">
        <v>141</v>
      </c>
      <c r="E12" s="55" t="s">
        <v>39</v>
      </c>
      <c r="F12" s="55" t="s">
        <v>126</v>
      </c>
      <c r="G12" s="56" t="s">
        <v>15</v>
      </c>
      <c r="H12" s="56" t="s">
        <v>18</v>
      </c>
      <c r="I12" s="55" t="s">
        <v>142</v>
      </c>
      <c r="J12" s="57" t="s">
        <v>143</v>
      </c>
      <c r="K12" s="60"/>
      <c r="L12" s="58" t="s">
        <v>14</v>
      </c>
      <c r="M12" s="59"/>
      <c r="N12" s="60"/>
    </row>
    <row r="13" ht="63.75" customHeight="1">
      <c r="A13" s="54" t="s">
        <v>145</v>
      </c>
      <c r="B13" s="55" t="s">
        <v>39</v>
      </c>
      <c r="C13" s="71" t="s">
        <v>146</v>
      </c>
      <c r="D13" s="55" t="s">
        <v>147</v>
      </c>
      <c r="E13" s="55" t="s">
        <v>39</v>
      </c>
      <c r="F13" s="55" t="s">
        <v>30</v>
      </c>
      <c r="G13" s="56" t="s">
        <v>15</v>
      </c>
      <c r="H13" s="56" t="s">
        <v>18</v>
      </c>
      <c r="I13" s="55" t="s">
        <v>148</v>
      </c>
      <c r="J13" s="57" t="s">
        <v>149</v>
      </c>
      <c r="K13" s="60"/>
      <c r="L13" s="58" t="s">
        <v>14</v>
      </c>
      <c r="M13" s="59"/>
      <c r="N13" s="60"/>
    </row>
    <row r="14" ht="63.75" customHeight="1">
      <c r="A14" s="54" t="s">
        <v>150</v>
      </c>
      <c r="B14" s="55" t="s">
        <v>39</v>
      </c>
      <c r="C14" s="55" t="s">
        <v>151</v>
      </c>
      <c r="D14" s="55" t="s">
        <v>152</v>
      </c>
      <c r="E14" s="55" t="s">
        <v>30</v>
      </c>
      <c r="F14" s="55" t="s">
        <v>153</v>
      </c>
      <c r="G14" s="56" t="s">
        <v>15</v>
      </c>
      <c r="H14" s="56" t="s">
        <v>18</v>
      </c>
      <c r="I14" s="55" t="s">
        <v>155</v>
      </c>
      <c r="J14" s="71" t="s">
        <v>156</v>
      </c>
      <c r="K14" s="60"/>
      <c r="L14" s="58" t="s">
        <v>14</v>
      </c>
      <c r="M14" s="59"/>
      <c r="N14" s="60"/>
    </row>
    <row r="15" ht="63.75" customHeight="1">
      <c r="A15" s="54" t="s">
        <v>157</v>
      </c>
      <c r="B15" s="55" t="s">
        <v>39</v>
      </c>
      <c r="C15" s="55" t="s">
        <v>158</v>
      </c>
      <c r="D15" s="55" t="s">
        <v>159</v>
      </c>
      <c r="E15" s="55" t="s">
        <v>20</v>
      </c>
      <c r="F15" s="55" t="s">
        <v>160</v>
      </c>
      <c r="G15" s="56" t="s">
        <v>15</v>
      </c>
      <c r="H15" s="56" t="s">
        <v>18</v>
      </c>
      <c r="I15" s="55" t="s">
        <v>161</v>
      </c>
      <c r="J15" s="71" t="s">
        <v>163</v>
      </c>
      <c r="K15" s="60"/>
      <c r="L15" s="58" t="s">
        <v>14</v>
      </c>
      <c r="M15" s="59"/>
      <c r="N15" s="60"/>
    </row>
    <row r="16" ht="63.75" customHeight="1">
      <c r="A16" s="54" t="s">
        <v>164</v>
      </c>
      <c r="B16" s="55" t="s">
        <v>39</v>
      </c>
      <c r="C16" s="55" t="s">
        <v>165</v>
      </c>
      <c r="D16" s="71" t="s">
        <v>166</v>
      </c>
      <c r="E16" s="55" t="s">
        <v>30</v>
      </c>
      <c r="F16" s="55" t="s">
        <v>167</v>
      </c>
      <c r="G16" s="56" t="s">
        <v>24</v>
      </c>
      <c r="H16" s="56" t="s">
        <v>26</v>
      </c>
      <c r="I16" s="55" t="s">
        <v>168</v>
      </c>
      <c r="J16" s="71" t="s">
        <v>169</v>
      </c>
      <c r="K16" s="60"/>
      <c r="L16" s="58" t="s">
        <v>14</v>
      </c>
      <c r="M16" s="59"/>
      <c r="N16" s="60"/>
    </row>
    <row r="17" ht="63.75" customHeight="1">
      <c r="A17" s="54" t="s">
        <v>170</v>
      </c>
      <c r="B17" s="55" t="s">
        <v>39</v>
      </c>
      <c r="C17" s="55" t="s">
        <v>171</v>
      </c>
      <c r="D17" s="55" t="s">
        <v>172</v>
      </c>
      <c r="E17" s="55" t="s">
        <v>20</v>
      </c>
      <c r="F17" s="55" t="s">
        <v>173</v>
      </c>
      <c r="G17" s="56" t="s">
        <v>24</v>
      </c>
      <c r="H17" s="56" t="s">
        <v>26</v>
      </c>
      <c r="I17" s="55" t="s">
        <v>175</v>
      </c>
      <c r="J17" s="57" t="s">
        <v>176</v>
      </c>
      <c r="K17" s="60"/>
      <c r="L17" s="58" t="s">
        <v>14</v>
      </c>
      <c r="M17" s="59"/>
      <c r="N17" s="60"/>
    </row>
    <row r="18" ht="63.75" customHeight="1">
      <c r="A18" s="54" t="s">
        <v>177</v>
      </c>
      <c r="B18" s="55" t="s">
        <v>39</v>
      </c>
      <c r="C18" s="55" t="s">
        <v>178</v>
      </c>
      <c r="D18" s="55" t="s">
        <v>179</v>
      </c>
      <c r="E18" s="55" t="s">
        <v>80</v>
      </c>
      <c r="F18" s="55" t="s">
        <v>180</v>
      </c>
      <c r="G18" s="56" t="s">
        <v>37</v>
      </c>
      <c r="H18" s="56" t="s">
        <v>26</v>
      </c>
      <c r="I18" s="55" t="s">
        <v>181</v>
      </c>
      <c r="J18" s="57" t="s">
        <v>182</v>
      </c>
      <c r="K18" s="60"/>
      <c r="L18" s="58" t="s">
        <v>14</v>
      </c>
      <c r="M18" s="59"/>
      <c r="N18" s="60"/>
    </row>
    <row r="19" ht="63.75" customHeight="1">
      <c r="A19" s="54" t="s">
        <v>184</v>
      </c>
      <c r="B19" s="55" t="s">
        <v>121</v>
      </c>
      <c r="C19" s="55" t="s">
        <v>185</v>
      </c>
      <c r="D19" s="55" t="s">
        <v>186</v>
      </c>
      <c r="E19" s="55" t="s">
        <v>49</v>
      </c>
      <c r="F19" s="55" t="s">
        <v>187</v>
      </c>
      <c r="G19" s="56" t="s">
        <v>15</v>
      </c>
      <c r="H19" s="56" t="s">
        <v>18</v>
      </c>
      <c r="I19" s="55" t="s">
        <v>188</v>
      </c>
      <c r="J19" s="57" t="s">
        <v>189</v>
      </c>
      <c r="K19" s="60"/>
      <c r="L19" s="58" t="s">
        <v>14</v>
      </c>
      <c r="M19" s="59"/>
      <c r="N19" s="60"/>
    </row>
    <row r="20" ht="63.75" customHeight="1">
      <c r="A20" s="54" t="s">
        <v>190</v>
      </c>
      <c r="B20" s="55" t="s">
        <v>121</v>
      </c>
      <c r="C20" s="55" t="s">
        <v>191</v>
      </c>
      <c r="D20" s="55" t="s">
        <v>192</v>
      </c>
      <c r="E20" s="55" t="s">
        <v>49</v>
      </c>
      <c r="F20" s="55" t="s">
        <v>126</v>
      </c>
      <c r="G20" s="56" t="s">
        <v>15</v>
      </c>
      <c r="H20" s="56" t="s">
        <v>18</v>
      </c>
      <c r="I20" s="55" t="s">
        <v>194</v>
      </c>
      <c r="J20" s="57" t="s">
        <v>195</v>
      </c>
      <c r="K20" s="60"/>
      <c r="L20" s="58" t="s">
        <v>14</v>
      </c>
      <c r="M20" s="59"/>
      <c r="N20" s="60"/>
    </row>
    <row r="21" ht="63.75" customHeight="1">
      <c r="A21" s="54" t="s">
        <v>196</v>
      </c>
      <c r="B21" s="55" t="s">
        <v>121</v>
      </c>
      <c r="C21" s="55" t="s">
        <v>197</v>
      </c>
      <c r="D21" s="55" t="s">
        <v>198</v>
      </c>
      <c r="E21" s="55" t="s">
        <v>55</v>
      </c>
      <c r="F21" s="55" t="s">
        <v>199</v>
      </c>
      <c r="G21" s="56" t="s">
        <v>15</v>
      </c>
      <c r="H21" s="56" t="s">
        <v>18</v>
      </c>
      <c r="I21" s="55" t="s">
        <v>200</v>
      </c>
      <c r="J21" s="57" t="s">
        <v>201</v>
      </c>
      <c r="K21" s="60"/>
      <c r="L21" s="58" t="s">
        <v>14</v>
      </c>
      <c r="M21" s="59"/>
      <c r="N21" s="60"/>
    </row>
    <row r="22" ht="63.75" customHeight="1">
      <c r="A22" s="54" t="s">
        <v>203</v>
      </c>
      <c r="B22" s="55" t="s">
        <v>121</v>
      </c>
      <c r="C22" s="55" t="s">
        <v>204</v>
      </c>
      <c r="D22" s="55" t="s">
        <v>205</v>
      </c>
      <c r="E22" s="55" t="s">
        <v>49</v>
      </c>
      <c r="F22" s="55" t="s">
        <v>206</v>
      </c>
      <c r="G22" s="56" t="s">
        <v>24</v>
      </c>
      <c r="H22" s="56" t="s">
        <v>26</v>
      </c>
      <c r="I22" s="55" t="s">
        <v>207</v>
      </c>
      <c r="J22" s="57" t="s">
        <v>208</v>
      </c>
      <c r="K22" s="60"/>
      <c r="L22" s="58" t="s">
        <v>14</v>
      </c>
      <c r="M22" s="59"/>
      <c r="N22" s="60"/>
    </row>
    <row r="23" ht="63.75" customHeight="1">
      <c r="A23" s="54" t="s">
        <v>209</v>
      </c>
      <c r="B23" s="55" t="s">
        <v>121</v>
      </c>
      <c r="C23" s="55" t="s">
        <v>210</v>
      </c>
      <c r="D23" s="55" t="s">
        <v>211</v>
      </c>
      <c r="E23" s="55" t="s">
        <v>49</v>
      </c>
      <c r="F23" s="55" t="s">
        <v>99</v>
      </c>
      <c r="G23" s="56" t="s">
        <v>24</v>
      </c>
      <c r="H23" s="56" t="s">
        <v>26</v>
      </c>
      <c r="I23" s="55" t="s">
        <v>212</v>
      </c>
      <c r="J23" s="57" t="s">
        <v>213</v>
      </c>
      <c r="K23" s="60"/>
      <c r="L23" s="58" t="s">
        <v>14</v>
      </c>
      <c r="M23" s="59"/>
      <c r="N23" s="60"/>
    </row>
    <row r="24" ht="63.75" customHeight="1">
      <c r="A24" s="54" t="s">
        <v>215</v>
      </c>
      <c r="B24" s="55" t="s">
        <v>121</v>
      </c>
      <c r="C24" s="55" t="s">
        <v>217</v>
      </c>
      <c r="D24" s="55" t="s">
        <v>218</v>
      </c>
      <c r="E24" s="55" t="s">
        <v>55</v>
      </c>
      <c r="F24" s="55" t="s">
        <v>219</v>
      </c>
      <c r="G24" s="56" t="s">
        <v>24</v>
      </c>
      <c r="H24" s="56" t="s">
        <v>26</v>
      </c>
      <c r="I24" s="55" t="s">
        <v>220</v>
      </c>
      <c r="J24" s="71" t="s">
        <v>221</v>
      </c>
      <c r="K24" s="60"/>
      <c r="L24" s="58" t="s">
        <v>14</v>
      </c>
      <c r="M24" s="59"/>
      <c r="N24" s="60"/>
    </row>
    <row r="25" ht="63.75" customHeight="1">
      <c r="A25" s="54" t="s">
        <v>222</v>
      </c>
      <c r="B25" s="55" t="s">
        <v>121</v>
      </c>
      <c r="C25" s="55" t="s">
        <v>223</v>
      </c>
      <c r="D25" s="55" t="s">
        <v>224</v>
      </c>
      <c r="E25" s="55" t="s">
        <v>30</v>
      </c>
      <c r="F25" s="55" t="s">
        <v>225</v>
      </c>
      <c r="G25" s="56" t="s">
        <v>24</v>
      </c>
      <c r="H25" s="56" t="s">
        <v>26</v>
      </c>
      <c r="I25" s="55" t="s">
        <v>226</v>
      </c>
      <c r="J25" s="71" t="s">
        <v>227</v>
      </c>
      <c r="K25" s="60"/>
      <c r="L25" s="58" t="s">
        <v>14</v>
      </c>
      <c r="M25" s="59"/>
      <c r="N25" s="60"/>
    </row>
    <row r="26" ht="63.75" customHeight="1">
      <c r="A26" s="54" t="s">
        <v>228</v>
      </c>
      <c r="B26" s="55" t="s">
        <v>135</v>
      </c>
      <c r="C26" s="55" t="s">
        <v>229</v>
      </c>
      <c r="D26" s="55" t="s">
        <v>230</v>
      </c>
      <c r="E26" s="55" t="s">
        <v>20</v>
      </c>
      <c r="F26" s="55" t="s">
        <v>231</v>
      </c>
      <c r="G26" s="56" t="s">
        <v>15</v>
      </c>
      <c r="H26" s="56" t="s">
        <v>18</v>
      </c>
      <c r="I26" s="55" t="s">
        <v>232</v>
      </c>
      <c r="J26" s="71" t="s">
        <v>233</v>
      </c>
      <c r="K26" s="60"/>
      <c r="L26" s="58" t="s">
        <v>14</v>
      </c>
      <c r="M26" s="59"/>
      <c r="N26" s="60"/>
    </row>
    <row r="27" ht="63.75" customHeight="1">
      <c r="A27" s="54" t="s">
        <v>234</v>
      </c>
      <c r="B27" s="55" t="s">
        <v>135</v>
      </c>
      <c r="C27" s="55" t="s">
        <v>235</v>
      </c>
      <c r="D27" s="55" t="s">
        <v>236</v>
      </c>
      <c r="E27" s="55" t="s">
        <v>20</v>
      </c>
      <c r="F27" s="55" t="s">
        <v>99</v>
      </c>
      <c r="G27" s="56" t="s">
        <v>15</v>
      </c>
      <c r="H27" s="56" t="s">
        <v>18</v>
      </c>
      <c r="I27" s="55" t="s">
        <v>237</v>
      </c>
      <c r="J27" s="71" t="s">
        <v>238</v>
      </c>
      <c r="K27" s="60"/>
      <c r="L27" s="58" t="s">
        <v>14</v>
      </c>
      <c r="M27" s="59"/>
      <c r="N27" s="60"/>
    </row>
    <row r="28" ht="63.75" customHeight="1">
      <c r="A28" s="54" t="s">
        <v>239</v>
      </c>
      <c r="B28" s="55" t="s">
        <v>135</v>
      </c>
      <c r="C28" s="71" t="s">
        <v>240</v>
      </c>
      <c r="D28" s="55" t="s">
        <v>241</v>
      </c>
      <c r="E28" s="55" t="s">
        <v>20</v>
      </c>
      <c r="F28" s="55" t="s">
        <v>242</v>
      </c>
      <c r="G28" s="56" t="s">
        <v>24</v>
      </c>
      <c r="H28" s="56" t="s">
        <v>26</v>
      </c>
      <c r="I28" s="55" t="s">
        <v>243</v>
      </c>
      <c r="J28" s="57" t="s">
        <v>244</v>
      </c>
      <c r="K28" s="60"/>
      <c r="L28" s="58" t="s">
        <v>14</v>
      </c>
      <c r="M28" s="59"/>
      <c r="N28" s="60"/>
    </row>
    <row r="29" ht="63.75" customHeight="1">
      <c r="A29" s="54" t="s">
        <v>245</v>
      </c>
      <c r="B29" s="55" t="s">
        <v>135</v>
      </c>
      <c r="C29" s="55" t="s">
        <v>246</v>
      </c>
      <c r="D29" s="55" t="s">
        <v>247</v>
      </c>
      <c r="E29" s="55" t="s">
        <v>61</v>
      </c>
      <c r="F29" s="55" t="s">
        <v>248</v>
      </c>
      <c r="G29" s="56" t="s">
        <v>24</v>
      </c>
      <c r="H29" s="56" t="s">
        <v>26</v>
      </c>
      <c r="I29" s="55" t="s">
        <v>249</v>
      </c>
      <c r="J29" s="57" t="s">
        <v>250</v>
      </c>
      <c r="K29" s="60"/>
      <c r="L29" s="58" t="s">
        <v>14</v>
      </c>
      <c r="M29" s="59"/>
      <c r="N29" s="60"/>
    </row>
    <row r="30" ht="63.75" customHeight="1">
      <c r="A30" s="54" t="s">
        <v>251</v>
      </c>
      <c r="B30" s="55" t="s">
        <v>135</v>
      </c>
      <c r="C30" s="55" t="s">
        <v>252</v>
      </c>
      <c r="D30" s="55" t="s">
        <v>253</v>
      </c>
      <c r="E30" s="55" t="s">
        <v>76</v>
      </c>
      <c r="F30" s="55" t="s">
        <v>187</v>
      </c>
      <c r="G30" s="56" t="s">
        <v>37</v>
      </c>
      <c r="H30" s="56" t="s">
        <v>26</v>
      </c>
      <c r="I30" s="55" t="s">
        <v>254</v>
      </c>
      <c r="J30" s="57" t="s">
        <v>255</v>
      </c>
      <c r="K30" s="60"/>
      <c r="L30" s="58" t="s">
        <v>14</v>
      </c>
      <c r="M30" s="59"/>
      <c r="N30" s="60"/>
    </row>
    <row r="31" ht="63.75" customHeight="1">
      <c r="A31" s="54" t="s">
        <v>256</v>
      </c>
      <c r="B31" s="55" t="s">
        <v>135</v>
      </c>
      <c r="C31" s="71" t="s">
        <v>257</v>
      </c>
      <c r="D31" s="71" t="s">
        <v>258</v>
      </c>
      <c r="E31" s="55" t="s">
        <v>30</v>
      </c>
      <c r="F31" s="55" t="s">
        <v>248</v>
      </c>
      <c r="G31" s="56" t="s">
        <v>24</v>
      </c>
      <c r="H31" s="56" t="s">
        <v>26</v>
      </c>
      <c r="I31" s="55" t="s">
        <v>259</v>
      </c>
      <c r="J31" s="71" t="s">
        <v>260</v>
      </c>
      <c r="K31" s="60"/>
      <c r="L31" s="58" t="s">
        <v>14</v>
      </c>
      <c r="M31" s="59"/>
      <c r="N31" s="60"/>
    </row>
    <row r="32" ht="63.75" customHeight="1">
      <c r="A32" s="54" t="s">
        <v>261</v>
      </c>
      <c r="B32" s="55" t="s">
        <v>144</v>
      </c>
      <c r="C32" s="55" t="s">
        <v>262</v>
      </c>
      <c r="D32" s="55" t="s">
        <v>263</v>
      </c>
      <c r="E32" s="55" t="s">
        <v>20</v>
      </c>
      <c r="F32" s="55" t="s">
        <v>76</v>
      </c>
      <c r="G32" s="56" t="s">
        <v>15</v>
      </c>
      <c r="H32" s="56" t="s">
        <v>18</v>
      </c>
      <c r="I32" s="55" t="s">
        <v>264</v>
      </c>
      <c r="J32" s="57" t="s">
        <v>265</v>
      </c>
      <c r="K32" s="60"/>
      <c r="L32" s="58" t="s">
        <v>14</v>
      </c>
      <c r="M32" s="59"/>
      <c r="N32" s="60"/>
    </row>
    <row r="33" ht="63.75" customHeight="1">
      <c r="A33" s="54" t="s">
        <v>266</v>
      </c>
      <c r="B33" s="55" t="s">
        <v>144</v>
      </c>
      <c r="C33" s="55" t="s">
        <v>267</v>
      </c>
      <c r="D33" s="55" t="s">
        <v>268</v>
      </c>
      <c r="E33" s="55" t="s">
        <v>20</v>
      </c>
      <c r="F33" s="55" t="s">
        <v>136</v>
      </c>
      <c r="G33" s="56" t="s">
        <v>15</v>
      </c>
      <c r="H33" s="56" t="s">
        <v>18</v>
      </c>
      <c r="I33" s="55" t="s">
        <v>269</v>
      </c>
      <c r="J33" s="57" t="s">
        <v>270</v>
      </c>
      <c r="K33" s="60"/>
      <c r="L33" s="58" t="s">
        <v>14</v>
      </c>
      <c r="M33" s="59"/>
      <c r="N33" s="60"/>
    </row>
    <row r="34" ht="63.75" customHeight="1">
      <c r="A34" s="54" t="s">
        <v>271</v>
      </c>
      <c r="B34" s="55" t="s">
        <v>144</v>
      </c>
      <c r="C34" s="55" t="s">
        <v>272</v>
      </c>
      <c r="D34" s="55" t="s">
        <v>273</v>
      </c>
      <c r="E34" s="55" t="s">
        <v>20</v>
      </c>
      <c r="F34" s="55" t="s">
        <v>274</v>
      </c>
      <c r="G34" s="56" t="s">
        <v>15</v>
      </c>
      <c r="H34" s="56" t="s">
        <v>18</v>
      </c>
      <c r="I34" s="55" t="s">
        <v>275</v>
      </c>
      <c r="J34" s="57" t="s">
        <v>276</v>
      </c>
      <c r="K34" s="60"/>
      <c r="L34" s="58" t="s">
        <v>14</v>
      </c>
      <c r="M34" s="59"/>
      <c r="N34" s="60"/>
    </row>
    <row r="35" ht="63.75" customHeight="1">
      <c r="A35" s="54" t="s">
        <v>277</v>
      </c>
      <c r="B35" s="55" t="s">
        <v>144</v>
      </c>
      <c r="C35" s="55" t="s">
        <v>278</v>
      </c>
      <c r="D35" s="55" t="s">
        <v>279</v>
      </c>
      <c r="E35" s="55" t="s">
        <v>20</v>
      </c>
      <c r="F35" s="55" t="s">
        <v>73</v>
      </c>
      <c r="G35" s="56" t="s">
        <v>15</v>
      </c>
      <c r="H35" s="56" t="s">
        <v>18</v>
      </c>
      <c r="I35" s="55" t="s">
        <v>280</v>
      </c>
      <c r="J35" s="57" t="s">
        <v>281</v>
      </c>
      <c r="K35" s="60"/>
      <c r="L35" s="58" t="s">
        <v>14</v>
      </c>
      <c r="M35" s="59"/>
      <c r="N35" s="60"/>
    </row>
    <row r="36" ht="63.75" customHeight="1">
      <c r="A36" s="54" t="s">
        <v>282</v>
      </c>
      <c r="B36" s="55" t="s">
        <v>144</v>
      </c>
      <c r="C36" s="55" t="s">
        <v>283</v>
      </c>
      <c r="D36" s="55" t="s">
        <v>284</v>
      </c>
      <c r="E36" s="55" t="s">
        <v>73</v>
      </c>
      <c r="F36" s="55" t="s">
        <v>126</v>
      </c>
      <c r="G36" s="56" t="s">
        <v>15</v>
      </c>
      <c r="H36" s="56" t="s">
        <v>18</v>
      </c>
      <c r="I36" s="55" t="s">
        <v>285</v>
      </c>
      <c r="J36" s="57" t="s">
        <v>286</v>
      </c>
      <c r="K36" s="60"/>
      <c r="L36" s="58" t="s">
        <v>14</v>
      </c>
      <c r="M36" s="59"/>
      <c r="N36" s="60"/>
    </row>
    <row r="37" ht="63.75" customHeight="1">
      <c r="A37" s="54" t="s">
        <v>287</v>
      </c>
      <c r="B37" s="55" t="s">
        <v>144</v>
      </c>
      <c r="C37" s="55" t="s">
        <v>288</v>
      </c>
      <c r="D37" s="55" t="s">
        <v>289</v>
      </c>
      <c r="E37" s="55" t="s">
        <v>20</v>
      </c>
      <c r="F37" s="55" t="s">
        <v>76</v>
      </c>
      <c r="G37" s="56" t="s">
        <v>24</v>
      </c>
      <c r="H37" s="56" t="s">
        <v>26</v>
      </c>
      <c r="I37" s="55" t="s">
        <v>290</v>
      </c>
      <c r="J37" s="57" t="s">
        <v>291</v>
      </c>
      <c r="K37" s="60"/>
      <c r="L37" s="58" t="s">
        <v>14</v>
      </c>
      <c r="M37" s="59"/>
      <c r="N37" s="60"/>
    </row>
    <row r="38" ht="63.75" customHeight="1">
      <c r="A38" s="54" t="s">
        <v>292</v>
      </c>
      <c r="B38" s="55" t="s">
        <v>154</v>
      </c>
      <c r="C38" s="55" t="s">
        <v>293</v>
      </c>
      <c r="D38" s="55" t="s">
        <v>294</v>
      </c>
      <c r="E38" s="55" t="s">
        <v>55</v>
      </c>
      <c r="F38" s="55" t="s">
        <v>126</v>
      </c>
      <c r="G38" s="56" t="s">
        <v>15</v>
      </c>
      <c r="H38" s="56" t="s">
        <v>18</v>
      </c>
      <c r="I38" s="55" t="s">
        <v>295</v>
      </c>
      <c r="J38" s="57" t="s">
        <v>296</v>
      </c>
      <c r="K38" s="60"/>
      <c r="L38" s="58" t="s">
        <v>14</v>
      </c>
      <c r="M38" s="59"/>
      <c r="N38" s="60"/>
    </row>
    <row r="39" ht="63.75" customHeight="1">
      <c r="A39" s="54" t="s">
        <v>297</v>
      </c>
      <c r="B39" s="55" t="s">
        <v>154</v>
      </c>
      <c r="C39" s="55" t="s">
        <v>298</v>
      </c>
      <c r="D39" s="55" t="s">
        <v>299</v>
      </c>
      <c r="E39" s="55" t="s">
        <v>55</v>
      </c>
      <c r="F39" s="55" t="s">
        <v>76</v>
      </c>
      <c r="G39" s="56" t="s">
        <v>15</v>
      </c>
      <c r="H39" s="56" t="s">
        <v>18</v>
      </c>
      <c r="I39" s="55" t="s">
        <v>300</v>
      </c>
      <c r="J39" s="57" t="s">
        <v>301</v>
      </c>
      <c r="K39" s="60"/>
      <c r="L39" s="58" t="s">
        <v>14</v>
      </c>
      <c r="M39" s="59"/>
      <c r="N39" s="60"/>
    </row>
    <row r="40" ht="63.75" customHeight="1">
      <c r="A40" s="54" t="s">
        <v>302</v>
      </c>
      <c r="B40" s="55" t="s">
        <v>154</v>
      </c>
      <c r="C40" s="55" t="s">
        <v>303</v>
      </c>
      <c r="D40" s="55" t="s">
        <v>304</v>
      </c>
      <c r="E40" s="55" t="s">
        <v>55</v>
      </c>
      <c r="F40" s="55" t="s">
        <v>305</v>
      </c>
      <c r="G40" s="56" t="s">
        <v>15</v>
      </c>
      <c r="H40" s="56" t="s">
        <v>18</v>
      </c>
      <c r="I40" s="55" t="s">
        <v>306</v>
      </c>
      <c r="J40" s="57" t="s">
        <v>301</v>
      </c>
      <c r="K40" s="60"/>
      <c r="L40" s="58" t="s">
        <v>14</v>
      </c>
      <c r="M40" s="59"/>
      <c r="N40" s="60"/>
    </row>
    <row r="41" ht="63.75" customHeight="1">
      <c r="A41" s="54" t="s">
        <v>307</v>
      </c>
      <c r="B41" s="55" t="s">
        <v>154</v>
      </c>
      <c r="C41" s="55" t="s">
        <v>308</v>
      </c>
      <c r="D41" s="71" t="s">
        <v>309</v>
      </c>
      <c r="E41" s="55" t="s">
        <v>20</v>
      </c>
      <c r="F41" s="55" t="s">
        <v>310</v>
      </c>
      <c r="G41" s="56" t="s">
        <v>15</v>
      </c>
      <c r="H41" s="56" t="s">
        <v>18</v>
      </c>
      <c r="I41" s="55" t="s">
        <v>311</v>
      </c>
      <c r="J41" s="57" t="s">
        <v>312</v>
      </c>
      <c r="K41" s="60"/>
      <c r="L41" s="58" t="s">
        <v>14</v>
      </c>
      <c r="M41" s="59"/>
      <c r="N41" s="60"/>
    </row>
    <row r="42" ht="63.75" customHeight="1">
      <c r="A42" s="54" t="s">
        <v>313</v>
      </c>
      <c r="B42" s="55" t="s">
        <v>154</v>
      </c>
      <c r="C42" s="55" t="s">
        <v>314</v>
      </c>
      <c r="D42" s="55" t="s">
        <v>315</v>
      </c>
      <c r="E42" s="55" t="s">
        <v>55</v>
      </c>
      <c r="F42" s="55" t="s">
        <v>187</v>
      </c>
      <c r="G42" s="56" t="s">
        <v>15</v>
      </c>
      <c r="H42" s="56" t="s">
        <v>18</v>
      </c>
      <c r="I42" s="55" t="s">
        <v>316</v>
      </c>
      <c r="J42" s="71" t="s">
        <v>317</v>
      </c>
      <c r="K42" s="60"/>
      <c r="L42" s="58" t="s">
        <v>14</v>
      </c>
      <c r="M42" s="59"/>
      <c r="N42" s="60"/>
    </row>
    <row r="43" ht="63.75" customHeight="1">
      <c r="A43" s="54" t="s">
        <v>318</v>
      </c>
      <c r="B43" s="55" t="s">
        <v>154</v>
      </c>
      <c r="C43" s="55" t="s">
        <v>319</v>
      </c>
      <c r="D43" s="55" t="s">
        <v>320</v>
      </c>
      <c r="E43" s="55" t="s">
        <v>61</v>
      </c>
      <c r="F43" s="55" t="s">
        <v>321</v>
      </c>
      <c r="G43" s="56" t="s">
        <v>15</v>
      </c>
      <c r="H43" s="56" t="s">
        <v>18</v>
      </c>
      <c r="I43" s="55" t="s">
        <v>322</v>
      </c>
      <c r="J43" s="71" t="s">
        <v>323</v>
      </c>
      <c r="K43" s="60"/>
      <c r="L43" s="58" t="s">
        <v>14</v>
      </c>
      <c r="M43" s="59"/>
      <c r="N43" s="60"/>
    </row>
    <row r="44" ht="63.75" customHeight="1">
      <c r="A44" s="54" t="s">
        <v>324</v>
      </c>
      <c r="B44" s="55" t="s">
        <v>154</v>
      </c>
      <c r="C44" s="55" t="s">
        <v>325</v>
      </c>
      <c r="D44" s="55" t="s">
        <v>326</v>
      </c>
      <c r="E44" s="55" t="s">
        <v>55</v>
      </c>
      <c r="F44" s="55" t="s">
        <v>327</v>
      </c>
      <c r="G44" s="56" t="s">
        <v>15</v>
      </c>
      <c r="H44" s="56" t="s">
        <v>18</v>
      </c>
      <c r="I44" s="55" t="s">
        <v>328</v>
      </c>
      <c r="J44" s="57" t="s">
        <v>301</v>
      </c>
      <c r="K44" s="60"/>
      <c r="L44" s="58" t="s">
        <v>14</v>
      </c>
      <c r="M44" s="59"/>
      <c r="N44" s="60"/>
    </row>
    <row r="45" ht="63.75" customHeight="1">
      <c r="A45" s="54" t="s">
        <v>329</v>
      </c>
      <c r="B45" s="55" t="s">
        <v>154</v>
      </c>
      <c r="C45" s="55" t="s">
        <v>330</v>
      </c>
      <c r="D45" s="55" t="s">
        <v>331</v>
      </c>
      <c r="E45" s="55" t="s">
        <v>55</v>
      </c>
      <c r="F45" s="55" t="s">
        <v>274</v>
      </c>
      <c r="G45" s="56" t="s">
        <v>24</v>
      </c>
      <c r="H45" s="56" t="s">
        <v>26</v>
      </c>
      <c r="I45" s="55" t="s">
        <v>332</v>
      </c>
      <c r="J45" s="57" t="s">
        <v>333</v>
      </c>
      <c r="K45" s="60"/>
      <c r="L45" s="58" t="s">
        <v>14</v>
      </c>
      <c r="M45" s="59"/>
      <c r="N45" s="60"/>
    </row>
    <row r="46" ht="63.75" customHeight="1">
      <c r="A46" s="54" t="s">
        <v>334</v>
      </c>
      <c r="B46" s="55" t="s">
        <v>162</v>
      </c>
      <c r="C46" s="55" t="s">
        <v>335</v>
      </c>
      <c r="D46" s="71" t="s">
        <v>336</v>
      </c>
      <c r="E46" s="55" t="s">
        <v>30</v>
      </c>
      <c r="F46" s="55" t="s">
        <v>337</v>
      </c>
      <c r="G46" s="56" t="s">
        <v>15</v>
      </c>
      <c r="H46" s="56" t="s">
        <v>18</v>
      </c>
      <c r="I46" s="55" t="s">
        <v>338</v>
      </c>
      <c r="J46" s="57" t="s">
        <v>339</v>
      </c>
      <c r="K46" s="60"/>
      <c r="L46" s="58" t="s">
        <v>14</v>
      </c>
      <c r="M46" s="59"/>
      <c r="N46" s="60"/>
    </row>
    <row r="47" ht="63.75" customHeight="1">
      <c r="A47" s="54" t="s">
        <v>340</v>
      </c>
      <c r="B47" s="55" t="s">
        <v>162</v>
      </c>
      <c r="C47" s="55" t="s">
        <v>341</v>
      </c>
      <c r="D47" s="55" t="s">
        <v>342</v>
      </c>
      <c r="E47" s="55" t="s">
        <v>20</v>
      </c>
      <c r="F47" s="55" t="s">
        <v>343</v>
      </c>
      <c r="G47" s="56" t="s">
        <v>15</v>
      </c>
      <c r="H47" s="56" t="s">
        <v>18</v>
      </c>
      <c r="I47" s="55" t="s">
        <v>344</v>
      </c>
      <c r="J47" s="57" t="s">
        <v>345</v>
      </c>
      <c r="K47" s="60"/>
      <c r="L47" s="58" t="s">
        <v>14</v>
      </c>
      <c r="M47" s="59"/>
      <c r="N47" s="60"/>
    </row>
    <row r="48" ht="63.75" customHeight="1">
      <c r="A48" s="54" t="s">
        <v>346</v>
      </c>
      <c r="B48" s="55" t="s">
        <v>162</v>
      </c>
      <c r="C48" s="55" t="s">
        <v>347</v>
      </c>
      <c r="D48" s="55" t="s">
        <v>348</v>
      </c>
      <c r="E48" s="55" t="s">
        <v>61</v>
      </c>
      <c r="F48" s="55" t="s">
        <v>349</v>
      </c>
      <c r="G48" s="56" t="s">
        <v>15</v>
      </c>
      <c r="H48" s="56" t="s">
        <v>18</v>
      </c>
      <c r="I48" s="55" t="s">
        <v>350</v>
      </c>
      <c r="J48" s="57" t="s">
        <v>345</v>
      </c>
      <c r="K48" s="60"/>
      <c r="L48" s="58" t="s">
        <v>14</v>
      </c>
      <c r="M48" s="59"/>
      <c r="N48" s="60"/>
    </row>
    <row r="49" ht="63.75" customHeight="1">
      <c r="A49" s="54" t="s">
        <v>351</v>
      </c>
      <c r="B49" s="55" t="s">
        <v>162</v>
      </c>
      <c r="C49" s="55" t="s">
        <v>352</v>
      </c>
      <c r="D49" s="55" t="s">
        <v>353</v>
      </c>
      <c r="E49" s="55" t="s">
        <v>61</v>
      </c>
      <c r="F49" s="55" t="s">
        <v>327</v>
      </c>
      <c r="G49" s="56" t="s">
        <v>15</v>
      </c>
      <c r="H49" s="56" t="s">
        <v>18</v>
      </c>
      <c r="I49" s="55" t="s">
        <v>354</v>
      </c>
      <c r="J49" s="57" t="s">
        <v>345</v>
      </c>
      <c r="K49" s="60"/>
      <c r="L49" s="58" t="s">
        <v>14</v>
      </c>
      <c r="M49" s="59"/>
      <c r="N49" s="60"/>
    </row>
    <row r="50" ht="63.75" customHeight="1">
      <c r="A50" s="54" t="s">
        <v>355</v>
      </c>
      <c r="B50" s="55" t="s">
        <v>162</v>
      </c>
      <c r="C50" s="55" t="s">
        <v>356</v>
      </c>
      <c r="D50" s="55" t="s">
        <v>357</v>
      </c>
      <c r="E50" s="55" t="s">
        <v>55</v>
      </c>
      <c r="F50" s="55" t="s">
        <v>358</v>
      </c>
      <c r="G50" s="56" t="s">
        <v>24</v>
      </c>
      <c r="H50" s="56" t="s">
        <v>26</v>
      </c>
      <c r="I50" s="55" t="s">
        <v>359</v>
      </c>
      <c r="J50" s="57" t="s">
        <v>345</v>
      </c>
      <c r="K50" s="60"/>
      <c r="L50" s="58" t="s">
        <v>14</v>
      </c>
      <c r="M50" s="59"/>
      <c r="N50" s="60"/>
    </row>
    <row r="51" ht="63.75" customHeight="1">
      <c r="A51" s="54" t="s">
        <v>360</v>
      </c>
      <c r="B51" s="55" t="s">
        <v>162</v>
      </c>
      <c r="C51" s="55" t="s">
        <v>361</v>
      </c>
      <c r="D51" s="55" t="s">
        <v>362</v>
      </c>
      <c r="E51" s="55" t="s">
        <v>20</v>
      </c>
      <c r="F51" s="55" t="s">
        <v>109</v>
      </c>
      <c r="G51" s="56" t="s">
        <v>24</v>
      </c>
      <c r="H51" s="56" t="s">
        <v>26</v>
      </c>
      <c r="I51" s="55" t="s">
        <v>363</v>
      </c>
      <c r="J51" s="57" t="s">
        <v>345</v>
      </c>
      <c r="K51" s="60"/>
      <c r="L51" s="58" t="s">
        <v>14</v>
      </c>
      <c r="M51" s="59"/>
      <c r="N51" s="60"/>
    </row>
    <row r="52" ht="63.75" customHeight="1">
      <c r="A52" s="54" t="s">
        <v>364</v>
      </c>
      <c r="B52" s="55" t="s">
        <v>162</v>
      </c>
      <c r="C52" s="55" t="s">
        <v>365</v>
      </c>
      <c r="D52" s="55" t="s">
        <v>366</v>
      </c>
      <c r="E52" s="55" t="s">
        <v>61</v>
      </c>
      <c r="F52" s="55" t="s">
        <v>367</v>
      </c>
      <c r="G52" s="56" t="s">
        <v>15</v>
      </c>
      <c r="H52" s="56" t="s">
        <v>18</v>
      </c>
      <c r="I52" s="55" t="s">
        <v>368</v>
      </c>
      <c r="J52" s="57" t="s">
        <v>345</v>
      </c>
      <c r="K52" s="60"/>
      <c r="L52" s="58" t="s">
        <v>14</v>
      </c>
      <c r="M52" s="59"/>
      <c r="N52" s="60"/>
    </row>
    <row r="53" ht="63.75" customHeight="1">
      <c r="A53" s="54" t="s">
        <v>369</v>
      </c>
      <c r="B53" s="55" t="s">
        <v>162</v>
      </c>
      <c r="C53" s="55" t="s">
        <v>370</v>
      </c>
      <c r="D53" s="55" t="s">
        <v>371</v>
      </c>
      <c r="E53" s="55" t="s">
        <v>61</v>
      </c>
      <c r="F53" s="55" t="s">
        <v>242</v>
      </c>
      <c r="G53" s="56" t="s">
        <v>24</v>
      </c>
      <c r="H53" s="56" t="s">
        <v>26</v>
      </c>
      <c r="I53" s="55" t="s">
        <v>372</v>
      </c>
      <c r="J53" s="57" t="s">
        <v>345</v>
      </c>
      <c r="K53" s="60"/>
      <c r="L53" s="58" t="s">
        <v>14</v>
      </c>
      <c r="M53" s="59"/>
      <c r="N53" s="60"/>
    </row>
    <row r="54" ht="63.75" customHeight="1">
      <c r="A54" s="54" t="s">
        <v>373</v>
      </c>
      <c r="B54" s="55" t="s">
        <v>174</v>
      </c>
      <c r="C54" s="55" t="s">
        <v>374</v>
      </c>
      <c r="D54" s="55" t="s">
        <v>375</v>
      </c>
      <c r="E54" s="55" t="s">
        <v>73</v>
      </c>
      <c r="F54" s="55" t="s">
        <v>126</v>
      </c>
      <c r="G54" s="56" t="s">
        <v>15</v>
      </c>
      <c r="H54" s="56" t="s">
        <v>18</v>
      </c>
      <c r="I54" s="55" t="s">
        <v>376</v>
      </c>
      <c r="J54" s="57" t="s">
        <v>377</v>
      </c>
      <c r="K54" s="60"/>
      <c r="L54" s="58" t="s">
        <v>14</v>
      </c>
      <c r="M54" s="59"/>
      <c r="N54" s="60"/>
    </row>
    <row r="55" ht="63.75" customHeight="1">
      <c r="A55" s="54" t="s">
        <v>378</v>
      </c>
      <c r="B55" s="55" t="s">
        <v>174</v>
      </c>
      <c r="C55" s="55" t="s">
        <v>379</v>
      </c>
      <c r="D55" s="55" t="s">
        <v>380</v>
      </c>
      <c r="E55" s="55" t="s">
        <v>73</v>
      </c>
      <c r="F55" s="55" t="s">
        <v>30</v>
      </c>
      <c r="G55" s="56" t="s">
        <v>15</v>
      </c>
      <c r="H55" s="56" t="s">
        <v>18</v>
      </c>
      <c r="I55" s="55" t="s">
        <v>381</v>
      </c>
      <c r="J55" s="57" t="s">
        <v>345</v>
      </c>
      <c r="K55" s="60"/>
      <c r="L55" s="58" t="s">
        <v>14</v>
      </c>
      <c r="M55" s="59"/>
      <c r="N55" s="60"/>
    </row>
    <row r="56" ht="63.75" customHeight="1">
      <c r="A56" s="54" t="s">
        <v>382</v>
      </c>
      <c r="B56" s="55" t="s">
        <v>174</v>
      </c>
      <c r="C56" s="55" t="s">
        <v>383</v>
      </c>
      <c r="D56" s="55" t="s">
        <v>384</v>
      </c>
      <c r="E56" s="55" t="s">
        <v>30</v>
      </c>
      <c r="F56" s="55" t="s">
        <v>136</v>
      </c>
      <c r="G56" s="56" t="s">
        <v>15</v>
      </c>
      <c r="H56" s="56" t="s">
        <v>18</v>
      </c>
      <c r="I56" s="55" t="s">
        <v>385</v>
      </c>
      <c r="J56" s="57" t="s">
        <v>345</v>
      </c>
      <c r="K56" s="60"/>
      <c r="L56" s="58" t="s">
        <v>14</v>
      </c>
      <c r="M56" s="59"/>
      <c r="N56" s="60"/>
    </row>
    <row r="57" ht="63.75" customHeight="1">
      <c r="A57" s="54" t="s">
        <v>386</v>
      </c>
      <c r="B57" s="55" t="s">
        <v>174</v>
      </c>
      <c r="C57" s="71" t="s">
        <v>387</v>
      </c>
      <c r="D57" s="55" t="s">
        <v>388</v>
      </c>
      <c r="E57" s="55" t="s">
        <v>73</v>
      </c>
      <c r="F57" s="55" t="s">
        <v>30</v>
      </c>
      <c r="G57" s="56" t="s">
        <v>15</v>
      </c>
      <c r="H57" s="56" t="s">
        <v>18</v>
      </c>
      <c r="I57" s="55" t="s">
        <v>389</v>
      </c>
      <c r="J57" s="71" t="s">
        <v>390</v>
      </c>
      <c r="K57" s="60"/>
      <c r="L57" s="58" t="s">
        <v>14</v>
      </c>
      <c r="M57" s="59"/>
      <c r="N57" s="60"/>
    </row>
    <row r="58" ht="63.75" customHeight="1">
      <c r="A58" s="54" t="s">
        <v>391</v>
      </c>
      <c r="B58" s="55" t="s">
        <v>174</v>
      </c>
      <c r="C58" s="55" t="s">
        <v>392</v>
      </c>
      <c r="D58" s="55" t="s">
        <v>393</v>
      </c>
      <c r="E58" s="55" t="s">
        <v>73</v>
      </c>
      <c r="F58" s="55" t="s">
        <v>394</v>
      </c>
      <c r="G58" s="56" t="s">
        <v>24</v>
      </c>
      <c r="H58" s="56" t="s">
        <v>26</v>
      </c>
      <c r="I58" s="55" t="s">
        <v>395</v>
      </c>
      <c r="J58" s="57" t="s">
        <v>345</v>
      </c>
      <c r="K58" s="60"/>
      <c r="L58" s="58" t="s">
        <v>14</v>
      </c>
      <c r="M58" s="59"/>
      <c r="N58" s="60"/>
    </row>
    <row r="59" ht="63.75" customHeight="1">
      <c r="A59" s="54" t="s">
        <v>396</v>
      </c>
      <c r="B59" s="55" t="s">
        <v>174</v>
      </c>
      <c r="C59" s="55" t="s">
        <v>397</v>
      </c>
      <c r="D59" s="55" t="s">
        <v>398</v>
      </c>
      <c r="E59" s="55" t="s">
        <v>30</v>
      </c>
      <c r="F59" s="55" t="s">
        <v>399</v>
      </c>
      <c r="G59" s="56" t="s">
        <v>15</v>
      </c>
      <c r="H59" s="56" t="s">
        <v>18</v>
      </c>
      <c r="I59" s="55" t="s">
        <v>400</v>
      </c>
      <c r="J59" s="57" t="s">
        <v>345</v>
      </c>
      <c r="K59" s="60"/>
      <c r="L59" s="58" t="s">
        <v>14</v>
      </c>
      <c r="M59" s="59"/>
      <c r="N59" s="60"/>
    </row>
    <row r="60" ht="63.75" customHeight="1">
      <c r="A60" s="54" t="s">
        <v>401</v>
      </c>
      <c r="B60" s="55" t="s">
        <v>183</v>
      </c>
      <c r="C60" s="55" t="s">
        <v>402</v>
      </c>
      <c r="D60" s="55" t="s">
        <v>403</v>
      </c>
      <c r="E60" s="55" t="s">
        <v>30</v>
      </c>
      <c r="F60" s="55" t="s">
        <v>206</v>
      </c>
      <c r="G60" s="56" t="s">
        <v>15</v>
      </c>
      <c r="H60" s="56" t="s">
        <v>18</v>
      </c>
      <c r="I60" s="55" t="s">
        <v>404</v>
      </c>
      <c r="J60" s="57" t="s">
        <v>405</v>
      </c>
      <c r="K60" s="60"/>
      <c r="L60" s="58" t="s">
        <v>14</v>
      </c>
      <c r="M60" s="59"/>
      <c r="N60" s="60"/>
    </row>
    <row r="61" ht="63.75" customHeight="1">
      <c r="A61" s="54" t="s">
        <v>406</v>
      </c>
      <c r="B61" s="55" t="s">
        <v>183</v>
      </c>
      <c r="C61" s="55" t="s">
        <v>407</v>
      </c>
      <c r="D61" s="55" t="s">
        <v>408</v>
      </c>
      <c r="E61" s="55" t="s">
        <v>76</v>
      </c>
      <c r="F61" s="55" t="s">
        <v>30</v>
      </c>
      <c r="G61" s="56" t="s">
        <v>24</v>
      </c>
      <c r="H61" s="56" t="s">
        <v>26</v>
      </c>
      <c r="I61" s="55" t="s">
        <v>409</v>
      </c>
      <c r="J61" s="57" t="s">
        <v>410</v>
      </c>
      <c r="K61" s="60"/>
      <c r="L61" s="58" t="s">
        <v>14</v>
      </c>
      <c r="M61" s="59"/>
      <c r="N61" s="60"/>
    </row>
    <row r="62" ht="63.75" customHeight="1">
      <c r="A62" s="54" t="s">
        <v>411</v>
      </c>
      <c r="B62" s="55" t="s">
        <v>183</v>
      </c>
      <c r="C62" s="55" t="s">
        <v>412</v>
      </c>
      <c r="D62" s="55" t="s">
        <v>413</v>
      </c>
      <c r="E62" s="55" t="s">
        <v>76</v>
      </c>
      <c r="F62" s="55" t="s">
        <v>30</v>
      </c>
      <c r="G62" s="56" t="s">
        <v>37</v>
      </c>
      <c r="H62" s="56" t="s">
        <v>26</v>
      </c>
      <c r="I62" s="55" t="s">
        <v>414</v>
      </c>
      <c r="J62" s="57" t="s">
        <v>415</v>
      </c>
      <c r="K62" s="60"/>
      <c r="L62" s="58" t="s">
        <v>14</v>
      </c>
      <c r="M62" s="59"/>
      <c r="N62" s="60"/>
    </row>
    <row r="63" ht="63.75" customHeight="1">
      <c r="A63" s="54" t="s">
        <v>416</v>
      </c>
      <c r="B63" s="55" t="s">
        <v>183</v>
      </c>
      <c r="C63" s="55" t="s">
        <v>417</v>
      </c>
      <c r="D63" s="55" t="s">
        <v>418</v>
      </c>
      <c r="E63" s="55" t="s">
        <v>76</v>
      </c>
      <c r="F63" s="55" t="s">
        <v>80</v>
      </c>
      <c r="G63" s="56" t="s">
        <v>37</v>
      </c>
      <c r="H63" s="56" t="s">
        <v>26</v>
      </c>
      <c r="I63" s="55" t="s">
        <v>419</v>
      </c>
      <c r="J63" s="57" t="s">
        <v>420</v>
      </c>
      <c r="K63" s="60"/>
      <c r="L63" s="58" t="s">
        <v>14</v>
      </c>
      <c r="M63" s="59"/>
      <c r="N63" s="60"/>
    </row>
    <row r="64" ht="63.75" customHeight="1">
      <c r="A64" s="54" t="s">
        <v>421</v>
      </c>
      <c r="B64" s="55" t="s">
        <v>183</v>
      </c>
      <c r="C64" s="55" t="s">
        <v>422</v>
      </c>
      <c r="D64" s="55" t="s">
        <v>423</v>
      </c>
      <c r="E64" s="55" t="s">
        <v>30</v>
      </c>
      <c r="F64" s="55" t="s">
        <v>206</v>
      </c>
      <c r="G64" s="56" t="s">
        <v>24</v>
      </c>
      <c r="H64" s="56" t="s">
        <v>26</v>
      </c>
      <c r="I64" s="55" t="s">
        <v>424</v>
      </c>
      <c r="J64" s="71" t="s">
        <v>425</v>
      </c>
      <c r="K64" s="60"/>
      <c r="L64" s="58" t="s">
        <v>14</v>
      </c>
      <c r="M64" s="59"/>
      <c r="N64" s="60"/>
    </row>
    <row r="65" ht="63.75" customHeight="1">
      <c r="A65" s="54" t="s">
        <v>426</v>
      </c>
      <c r="B65" s="55" t="s">
        <v>193</v>
      </c>
      <c r="C65" s="55" t="s">
        <v>427</v>
      </c>
      <c r="D65" s="55" t="s">
        <v>428</v>
      </c>
      <c r="E65" s="55" t="s">
        <v>20</v>
      </c>
      <c r="F65" s="55" t="s">
        <v>274</v>
      </c>
      <c r="G65" s="56" t="s">
        <v>15</v>
      </c>
      <c r="H65" s="56" t="s">
        <v>18</v>
      </c>
      <c r="I65" s="55" t="s">
        <v>429</v>
      </c>
      <c r="J65" s="57" t="s">
        <v>430</v>
      </c>
      <c r="K65" s="60"/>
      <c r="L65" s="58" t="s">
        <v>14</v>
      </c>
      <c r="M65" s="59"/>
      <c r="N65" s="60"/>
    </row>
    <row r="66" ht="63.75" customHeight="1">
      <c r="A66" s="54" t="s">
        <v>431</v>
      </c>
      <c r="B66" s="55" t="s">
        <v>193</v>
      </c>
      <c r="C66" s="55" t="s">
        <v>432</v>
      </c>
      <c r="D66" s="55" t="s">
        <v>433</v>
      </c>
      <c r="E66" s="55" t="s">
        <v>20</v>
      </c>
      <c r="F66" s="55" t="s">
        <v>367</v>
      </c>
      <c r="G66" s="56" t="s">
        <v>24</v>
      </c>
      <c r="H66" s="56" t="s">
        <v>26</v>
      </c>
      <c r="I66" s="55" t="s">
        <v>434</v>
      </c>
      <c r="J66" s="57" t="s">
        <v>430</v>
      </c>
      <c r="K66" s="60"/>
      <c r="L66" s="58" t="s">
        <v>14</v>
      </c>
      <c r="M66" s="59"/>
      <c r="N66" s="60"/>
    </row>
    <row r="67" ht="63.75" customHeight="1">
      <c r="A67" s="54" t="s">
        <v>435</v>
      </c>
      <c r="B67" s="55" t="s">
        <v>193</v>
      </c>
      <c r="C67" s="55" t="s">
        <v>436</v>
      </c>
      <c r="D67" s="55" t="s">
        <v>437</v>
      </c>
      <c r="E67" s="55" t="s">
        <v>73</v>
      </c>
      <c r="F67" s="55" t="s">
        <v>187</v>
      </c>
      <c r="G67" s="56" t="s">
        <v>15</v>
      </c>
      <c r="H67" s="56" t="s">
        <v>18</v>
      </c>
      <c r="I67" s="55" t="s">
        <v>438</v>
      </c>
      <c r="J67" s="57" t="s">
        <v>430</v>
      </c>
      <c r="K67" s="60"/>
      <c r="L67" s="58" t="s">
        <v>14</v>
      </c>
      <c r="M67" s="59"/>
      <c r="N67" s="60"/>
    </row>
    <row r="68" ht="63.75" customHeight="1">
      <c r="A68" s="54" t="s">
        <v>439</v>
      </c>
      <c r="B68" s="55" t="s">
        <v>193</v>
      </c>
      <c r="C68" s="55" t="s">
        <v>440</v>
      </c>
      <c r="D68" s="55" t="s">
        <v>441</v>
      </c>
      <c r="E68" s="55" t="s">
        <v>30</v>
      </c>
      <c r="F68" s="55" t="s">
        <v>136</v>
      </c>
      <c r="G68" s="56" t="s">
        <v>24</v>
      </c>
      <c r="H68" s="56" t="s">
        <v>26</v>
      </c>
      <c r="I68" s="55" t="s">
        <v>442</v>
      </c>
      <c r="J68" s="57" t="s">
        <v>345</v>
      </c>
      <c r="K68" s="60"/>
      <c r="L68" s="58" t="s">
        <v>14</v>
      </c>
      <c r="M68" s="59"/>
      <c r="N68" s="60"/>
    </row>
    <row r="69" ht="63.75" customHeight="1">
      <c r="A69" s="54" t="s">
        <v>443</v>
      </c>
      <c r="B69" s="55" t="s">
        <v>193</v>
      </c>
      <c r="C69" s="55" t="s">
        <v>444</v>
      </c>
      <c r="D69" s="55" t="s">
        <v>445</v>
      </c>
      <c r="E69" s="55" t="s">
        <v>73</v>
      </c>
      <c r="F69" s="55" t="s">
        <v>446</v>
      </c>
      <c r="G69" s="56" t="s">
        <v>24</v>
      </c>
      <c r="H69" s="56" t="s">
        <v>26</v>
      </c>
      <c r="I69" s="55" t="s">
        <v>447</v>
      </c>
      <c r="J69" s="57" t="s">
        <v>345</v>
      </c>
      <c r="K69" s="60"/>
      <c r="L69" s="58" t="s">
        <v>14</v>
      </c>
      <c r="M69" s="59"/>
      <c r="N69" s="60"/>
    </row>
    <row r="70" ht="63.75" customHeight="1">
      <c r="A70" s="54" t="s">
        <v>448</v>
      </c>
      <c r="B70" s="55" t="s">
        <v>193</v>
      </c>
      <c r="C70" s="55" t="s">
        <v>449</v>
      </c>
      <c r="D70" s="55" t="s">
        <v>450</v>
      </c>
      <c r="E70" s="55" t="s">
        <v>73</v>
      </c>
      <c r="F70" s="55" t="s">
        <v>76</v>
      </c>
      <c r="G70" s="56" t="s">
        <v>24</v>
      </c>
      <c r="H70" s="56" t="s">
        <v>26</v>
      </c>
      <c r="I70" s="55" t="s">
        <v>451</v>
      </c>
      <c r="J70" s="57" t="s">
        <v>345</v>
      </c>
      <c r="K70" s="60"/>
      <c r="L70" s="58" t="s">
        <v>14</v>
      </c>
      <c r="M70" s="59"/>
      <c r="N70" s="60"/>
    </row>
    <row r="71" ht="63.75" customHeight="1">
      <c r="A71" s="54" t="s">
        <v>452</v>
      </c>
      <c r="B71" s="55" t="s">
        <v>193</v>
      </c>
      <c r="C71" s="55" t="s">
        <v>453</v>
      </c>
      <c r="D71" s="55" t="s">
        <v>454</v>
      </c>
      <c r="E71" s="55" t="s">
        <v>20</v>
      </c>
      <c r="F71" s="55" t="s">
        <v>455</v>
      </c>
      <c r="G71" s="56" t="s">
        <v>24</v>
      </c>
      <c r="H71" s="56" t="s">
        <v>26</v>
      </c>
      <c r="I71" s="55" t="s">
        <v>456</v>
      </c>
      <c r="J71" s="71" t="s">
        <v>457</v>
      </c>
      <c r="K71" s="60"/>
      <c r="L71" s="58" t="s">
        <v>14</v>
      </c>
      <c r="M71" s="59"/>
      <c r="N71" s="60"/>
    </row>
    <row r="72" ht="63.75" customHeight="1">
      <c r="A72" s="54" t="s">
        <v>458</v>
      </c>
      <c r="B72" s="55" t="s">
        <v>202</v>
      </c>
      <c r="C72" s="55" t="s">
        <v>459</v>
      </c>
      <c r="D72" s="55" t="s">
        <v>460</v>
      </c>
      <c r="E72" s="55" t="s">
        <v>20</v>
      </c>
      <c r="F72" s="55" t="s">
        <v>126</v>
      </c>
      <c r="G72" s="56" t="s">
        <v>15</v>
      </c>
      <c r="H72" s="56" t="s">
        <v>18</v>
      </c>
      <c r="I72" s="55" t="s">
        <v>461</v>
      </c>
      <c r="J72" s="71" t="s">
        <v>462</v>
      </c>
      <c r="K72" s="60"/>
      <c r="L72" s="58" t="s">
        <v>14</v>
      </c>
      <c r="M72" s="59"/>
      <c r="N72" s="60"/>
    </row>
    <row r="73" ht="63.75" customHeight="1">
      <c r="A73" s="54" t="s">
        <v>463</v>
      </c>
      <c r="B73" s="55" t="s">
        <v>202</v>
      </c>
      <c r="C73" s="55" t="s">
        <v>464</v>
      </c>
      <c r="D73" s="55" t="s">
        <v>465</v>
      </c>
      <c r="E73" s="55" t="s">
        <v>80</v>
      </c>
      <c r="F73" s="55" t="s">
        <v>466</v>
      </c>
      <c r="G73" s="56" t="s">
        <v>24</v>
      </c>
      <c r="H73" s="56" t="s">
        <v>26</v>
      </c>
      <c r="I73" s="55" t="s">
        <v>467</v>
      </c>
      <c r="J73" s="57" t="s">
        <v>301</v>
      </c>
      <c r="K73" s="60"/>
      <c r="L73" s="58" t="s">
        <v>14</v>
      </c>
      <c r="M73" s="59"/>
      <c r="N73" s="60"/>
    </row>
    <row r="74" ht="63.75" customHeight="1">
      <c r="A74" s="54" t="s">
        <v>468</v>
      </c>
      <c r="B74" s="55" t="s">
        <v>202</v>
      </c>
      <c r="C74" s="55" t="s">
        <v>469</v>
      </c>
      <c r="D74" s="55" t="s">
        <v>470</v>
      </c>
      <c r="E74" s="55" t="s">
        <v>30</v>
      </c>
      <c r="F74" s="55" t="s">
        <v>327</v>
      </c>
      <c r="G74" s="56" t="s">
        <v>24</v>
      </c>
      <c r="H74" s="56" t="s">
        <v>26</v>
      </c>
      <c r="I74" s="55" t="s">
        <v>471</v>
      </c>
      <c r="J74" s="57" t="s">
        <v>472</v>
      </c>
      <c r="K74" s="60"/>
      <c r="L74" s="58" t="s">
        <v>14</v>
      </c>
      <c r="M74" s="59"/>
      <c r="N74" s="60"/>
    </row>
    <row r="75" ht="63.75" customHeight="1">
      <c r="A75" s="54" t="s">
        <v>473</v>
      </c>
      <c r="B75" s="55" t="s">
        <v>202</v>
      </c>
      <c r="C75" s="55" t="s">
        <v>474</v>
      </c>
      <c r="D75" s="55" t="s">
        <v>475</v>
      </c>
      <c r="E75" s="55" t="s">
        <v>20</v>
      </c>
      <c r="F75" s="55" t="s">
        <v>399</v>
      </c>
      <c r="G75" s="56" t="s">
        <v>24</v>
      </c>
      <c r="H75" s="56" t="s">
        <v>26</v>
      </c>
      <c r="I75" s="55" t="s">
        <v>476</v>
      </c>
      <c r="J75" s="71" t="s">
        <v>477</v>
      </c>
      <c r="K75" s="60"/>
      <c r="L75" s="58" t="s">
        <v>14</v>
      </c>
      <c r="M75" s="59"/>
      <c r="N75" s="60"/>
    </row>
    <row r="76" ht="63.75" customHeight="1">
      <c r="A76" s="54" t="s">
        <v>478</v>
      </c>
      <c r="B76" s="55" t="s">
        <v>202</v>
      </c>
      <c r="C76" s="55" t="s">
        <v>479</v>
      </c>
      <c r="D76" s="55" t="s">
        <v>480</v>
      </c>
      <c r="E76" s="55" t="s">
        <v>80</v>
      </c>
      <c r="F76" s="55" t="s">
        <v>481</v>
      </c>
      <c r="G76" s="56" t="s">
        <v>24</v>
      </c>
      <c r="H76" s="56" t="s">
        <v>26</v>
      </c>
      <c r="I76" s="55" t="s">
        <v>482</v>
      </c>
      <c r="J76" s="57" t="s">
        <v>301</v>
      </c>
      <c r="K76" s="60"/>
      <c r="L76" s="58" t="s">
        <v>14</v>
      </c>
      <c r="M76" s="59"/>
      <c r="N76" s="60"/>
    </row>
    <row r="77" ht="63.75" customHeight="1">
      <c r="A77" s="74" t="s">
        <v>483</v>
      </c>
      <c r="B77" s="75" t="s">
        <v>202</v>
      </c>
      <c r="C77" s="75" t="s">
        <v>484</v>
      </c>
      <c r="D77" s="75" t="s">
        <v>485</v>
      </c>
      <c r="E77" s="75" t="s">
        <v>30</v>
      </c>
      <c r="F77" s="75" t="s">
        <v>486</v>
      </c>
      <c r="G77" s="76" t="s">
        <v>24</v>
      </c>
      <c r="H77" s="76" t="s">
        <v>26</v>
      </c>
      <c r="I77" s="75" t="s">
        <v>487</v>
      </c>
      <c r="J77" s="77" t="s">
        <v>301</v>
      </c>
      <c r="K77" s="78"/>
      <c r="L77" s="79" t="s">
        <v>14</v>
      </c>
      <c r="M77" s="80"/>
      <c r="N77" s="78"/>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N1"/>
    <mergeCell ref="A2:N2"/>
    <mergeCell ref="A3:N3"/>
  </mergeCells>
  <conditionalFormatting sqref="G6:G77">
    <cfRule type="containsText" dxfId="4" priority="1" operator="containsText" text="Critical">
      <formula>NOT(ISERROR(SEARCH(("Critical"),(G6))))</formula>
    </cfRule>
  </conditionalFormatting>
  <conditionalFormatting sqref="H6:H77">
    <cfRule type="containsText" dxfId="4" priority="2" operator="containsText" text="Yes">
      <formula>NOT(ISERROR(SEARCH(("Yes"),(H6))))</formula>
    </cfRule>
  </conditionalFormatting>
  <conditionalFormatting sqref="L6:L77">
    <cfRule type="containsText" dxfId="5" priority="3" operator="containsText" text="Decided">
      <formula>NOT(ISERROR(SEARCH(("Decided"),(L6))))</formula>
    </cfRule>
  </conditionalFormatting>
  <conditionalFormatting sqref="L6:L77">
    <cfRule type="containsText" dxfId="6" priority="4" operator="containsText" text="In Review">
      <formula>NOT(ISERROR(SEARCH(("In Review"),(L6))))</formula>
    </cfRule>
  </conditionalFormatting>
  <conditionalFormatting sqref="L6:L77">
    <cfRule type="containsText" dxfId="4" priority="5" operator="containsText" text="Blocked">
      <formula>NOT(ISERROR(SEARCH(("Blocked"),(L6))))</formula>
    </cfRule>
  </conditionalFormatting>
  <dataValidations>
    <dataValidation type="list" allowBlank="1" sqref="L6:L77">
      <formula1>Reference!$A$5:$A$8</formula1>
    </dataValidation>
    <dataValidation type="list" allowBlank="1" sqref="H6:H77">
      <formula1>Reference!$G$5:$G$6</formula1>
    </dataValidation>
    <dataValidation type="list" allowBlank="1" sqref="E6:E77">
      <formula1>Reference!$J$5:$J$13</formula1>
    </dataValidation>
    <dataValidation type="list" allowBlank="1" sqref="G6:G77">
      <formula1>Reference!$D$5:$D$7</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0"/>
    <col customWidth="1" min="2" max="2" width="37.0"/>
    <col customWidth="1" min="3" max="3" width="46.0"/>
    <col customWidth="1" min="4" max="4" width="16.0"/>
    <col customWidth="1" min="5" max="5" width="17.0"/>
    <col customWidth="1" min="6" max="6" width="30.0"/>
    <col customWidth="1" min="7" max="26" width="8.63"/>
  </cols>
  <sheetData>
    <row r="1" ht="33.75" customHeight="1">
      <c r="A1" s="2" t="s">
        <v>27</v>
      </c>
    </row>
    <row r="2" ht="30.0" customHeight="1">
      <c r="A2" s="3" t="s">
        <v>31</v>
      </c>
    </row>
    <row r="4" ht="37.5" customHeight="1">
      <c r="A4" s="14" t="s">
        <v>9</v>
      </c>
      <c r="B4" s="14" t="s">
        <v>42</v>
      </c>
      <c r="C4" s="14" t="s">
        <v>43</v>
      </c>
      <c r="D4" s="14" t="s">
        <v>44</v>
      </c>
      <c r="E4" s="14" t="s">
        <v>46</v>
      </c>
      <c r="F4" s="14" t="s">
        <v>47</v>
      </c>
    </row>
    <row r="5" ht="54.0" customHeight="1">
      <c r="A5" s="18" t="s">
        <v>20</v>
      </c>
      <c r="B5" s="18" t="s">
        <v>21</v>
      </c>
      <c r="C5" s="18" t="s">
        <v>51</v>
      </c>
      <c r="D5" s="22">
        <f>COUNTIF(Questions!$E$6:$E$77,A5)</f>
        <v>22</v>
      </c>
      <c r="E5" s="22">
        <f>COUNTIFS(Questions!$E$6:$E$77,A5,Questions!$H$6:$H$77,"Yes")</f>
        <v>12</v>
      </c>
      <c r="F5" s="18" t="s">
        <v>67</v>
      </c>
    </row>
    <row r="6" ht="54.0" customHeight="1">
      <c r="A6" s="25" t="s">
        <v>30</v>
      </c>
      <c r="B6" s="25" t="s">
        <v>32</v>
      </c>
      <c r="C6" s="25" t="s">
        <v>69</v>
      </c>
      <c r="D6" s="35">
        <f>COUNTIF(Questions!$E$6:$E$77,A6)</f>
        <v>12</v>
      </c>
      <c r="E6" s="35">
        <f>COUNTIFS(Questions!$E$6:$E$77,A6,Questions!$H$6:$H$77,"Yes")</f>
        <v>5</v>
      </c>
      <c r="F6" s="25" t="s">
        <v>75</v>
      </c>
    </row>
    <row r="7" ht="54.0" customHeight="1">
      <c r="A7" s="25" t="s">
        <v>39</v>
      </c>
      <c r="B7" s="25" t="s">
        <v>41</v>
      </c>
      <c r="C7" s="25" t="s">
        <v>79</v>
      </c>
      <c r="D7" s="35">
        <f>COUNTIF(Questions!$E$6:$E$77,A7)</f>
        <v>2</v>
      </c>
      <c r="E7" s="35">
        <f>COUNTIFS(Questions!$E$6:$E$77,A7,Questions!$H$6:$H$77,"Yes")</f>
        <v>2</v>
      </c>
      <c r="F7" s="25" t="s">
        <v>84</v>
      </c>
    </row>
    <row r="8" ht="54.0" customHeight="1">
      <c r="A8" s="25" t="s">
        <v>49</v>
      </c>
      <c r="B8" s="25" t="s">
        <v>50</v>
      </c>
      <c r="C8" s="25" t="s">
        <v>85</v>
      </c>
      <c r="D8" s="35">
        <f>COUNTIF(Questions!$E$6:$E$77,A8)</f>
        <v>4</v>
      </c>
      <c r="E8" s="35">
        <f>COUNTIFS(Questions!$E$6:$E$77,A8,Questions!$H$6:$H$77,"Yes")</f>
        <v>2</v>
      </c>
      <c r="F8" s="25" t="s">
        <v>93</v>
      </c>
    </row>
    <row r="9" ht="54.0" customHeight="1">
      <c r="A9" s="25" t="s">
        <v>55</v>
      </c>
      <c r="B9" s="25" t="s">
        <v>57</v>
      </c>
      <c r="C9" s="25" t="s">
        <v>94</v>
      </c>
      <c r="D9" s="35">
        <f>COUNTIF(Questions!$E$6:$E$77,A9)</f>
        <v>11</v>
      </c>
      <c r="E9" s="35">
        <f>COUNTIFS(Questions!$E$6:$E$77,A9,Questions!$H$6:$H$77,"Yes")</f>
        <v>8</v>
      </c>
      <c r="F9" s="25" t="s">
        <v>98</v>
      </c>
    </row>
    <row r="10" ht="54.0" customHeight="1">
      <c r="A10" s="25" t="s">
        <v>61</v>
      </c>
      <c r="B10" s="25" t="s">
        <v>63</v>
      </c>
      <c r="C10" s="25" t="s">
        <v>101</v>
      </c>
      <c r="D10" s="35">
        <f>COUNTIF(Questions!$E$6:$E$77,A10)</f>
        <v>6</v>
      </c>
      <c r="E10" s="35">
        <f>COUNTIFS(Questions!$E$6:$E$77,A10,Questions!$H$6:$H$77,"Yes")</f>
        <v>4</v>
      </c>
      <c r="F10" s="25" t="s">
        <v>105</v>
      </c>
    </row>
    <row r="11" ht="54.0" customHeight="1">
      <c r="A11" s="25" t="s">
        <v>73</v>
      </c>
      <c r="B11" s="25" t="s">
        <v>74</v>
      </c>
      <c r="C11" s="25" t="s">
        <v>106</v>
      </c>
      <c r="D11" s="35">
        <f>COUNTIF(Questions!$E$6:$E$77,A11)</f>
        <v>8</v>
      </c>
      <c r="E11" s="35">
        <f>COUNTIFS(Questions!$E$6:$E$77,A11,Questions!$H$6:$H$77,"Yes")</f>
        <v>5</v>
      </c>
      <c r="F11" s="25" t="s">
        <v>110</v>
      </c>
    </row>
    <row r="12" ht="54.0" customHeight="1">
      <c r="A12" s="25" t="s">
        <v>76</v>
      </c>
      <c r="B12" s="25" t="s">
        <v>78</v>
      </c>
      <c r="C12" s="25" t="s">
        <v>113</v>
      </c>
      <c r="D12" s="35">
        <f>COUNTIF(Questions!$E$6:$E$77,A12)</f>
        <v>4</v>
      </c>
      <c r="E12" s="35">
        <f>COUNTIFS(Questions!$E$6:$E$77,A12,Questions!$H$6:$H$77,"Yes")</f>
        <v>0</v>
      </c>
      <c r="F12" s="25" t="s">
        <v>117</v>
      </c>
    </row>
    <row r="13" ht="54.0" customHeight="1">
      <c r="A13" s="64" t="s">
        <v>80</v>
      </c>
      <c r="B13" s="64" t="s">
        <v>81</v>
      </c>
      <c r="C13" s="64" t="s">
        <v>122</v>
      </c>
      <c r="D13" s="66">
        <f>COUNTIF(Questions!$E$6:$E$77,A13)</f>
        <v>3</v>
      </c>
      <c r="E13" s="66">
        <f>COUNTIFS(Questions!$E$6:$E$77,A13,Questions!$H$6:$H$77,"Yes")</f>
        <v>0</v>
      </c>
      <c r="F13" s="64" t="s">
        <v>129</v>
      </c>
    </row>
    <row r="15">
      <c r="A15" s="67" t="s">
        <v>130</v>
      </c>
    </row>
    <row r="16" ht="24.0" customHeight="1">
      <c r="A16" s="68" t="s">
        <v>132</v>
      </c>
      <c r="B16" s="17"/>
      <c r="C16" s="17"/>
      <c r="D16" s="17"/>
      <c r="E16" s="17"/>
      <c r="F16" s="28"/>
    </row>
    <row r="17" ht="24.0" customHeight="1">
      <c r="A17" s="69"/>
      <c r="F17" s="70"/>
    </row>
    <row r="18" ht="24.0" customHeight="1">
      <c r="A18" s="69"/>
      <c r="F18" s="70"/>
    </row>
    <row r="19" ht="24.0" customHeight="1">
      <c r="A19" s="31"/>
      <c r="B19" s="33"/>
      <c r="C19" s="33"/>
      <c r="D19" s="33"/>
      <c r="E19" s="33"/>
      <c r="F19"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15:F15"/>
    <mergeCell ref="A16:F19"/>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0"/>
    <col customWidth="1" min="2" max="2" width="42.0"/>
    <col customWidth="1" min="3" max="3" width="3.0"/>
    <col customWidth="1" min="4" max="4" width="15.0"/>
    <col customWidth="1" min="5" max="5" width="42.0"/>
    <col customWidth="1" min="6" max="6" width="3.0"/>
    <col customWidth="1" min="7" max="7" width="14.0"/>
    <col customWidth="1" min="8" max="8" width="42.0"/>
    <col customWidth="1" min="9" max="9" width="3.0"/>
    <col customWidth="1" min="10" max="10" width="28.0"/>
    <col customWidth="1" min="11" max="11" width="48.0"/>
    <col customWidth="1" min="12" max="26" width="8.63"/>
  </cols>
  <sheetData>
    <row r="1" ht="33.75" customHeight="1">
      <c r="A1" s="2" t="s">
        <v>1</v>
      </c>
    </row>
    <row r="2" ht="30.0" customHeight="1">
      <c r="A2" s="3" t="s">
        <v>3</v>
      </c>
    </row>
    <row r="4">
      <c r="A4" s="5" t="s">
        <v>4</v>
      </c>
      <c r="B4" s="5" t="s">
        <v>5</v>
      </c>
      <c r="D4" s="5" t="s">
        <v>6</v>
      </c>
      <c r="E4" s="5" t="s">
        <v>5</v>
      </c>
      <c r="G4" s="5" t="s">
        <v>7</v>
      </c>
      <c r="H4" s="5" t="s">
        <v>5</v>
      </c>
      <c r="J4" s="5" t="s">
        <v>9</v>
      </c>
      <c r="K4" s="5" t="s">
        <v>10</v>
      </c>
    </row>
    <row r="5">
      <c r="A5" s="8" t="s">
        <v>11</v>
      </c>
      <c r="B5" s="8" t="s">
        <v>13</v>
      </c>
      <c r="C5" s="10"/>
      <c r="D5" s="8" t="s">
        <v>15</v>
      </c>
      <c r="E5" s="8" t="s">
        <v>17</v>
      </c>
      <c r="F5" s="10"/>
      <c r="G5" s="8" t="s">
        <v>18</v>
      </c>
      <c r="H5" s="8" t="s">
        <v>19</v>
      </c>
      <c r="I5" s="10"/>
      <c r="J5" s="8" t="s">
        <v>20</v>
      </c>
      <c r="K5" s="8" t="s">
        <v>21</v>
      </c>
    </row>
    <row r="6">
      <c r="A6" s="11" t="s">
        <v>22</v>
      </c>
      <c r="B6" s="11" t="s">
        <v>23</v>
      </c>
      <c r="C6" s="10"/>
      <c r="D6" s="11" t="s">
        <v>24</v>
      </c>
      <c r="E6" s="11" t="s">
        <v>25</v>
      </c>
      <c r="F6" s="10"/>
      <c r="G6" s="12" t="s">
        <v>26</v>
      </c>
      <c r="H6" s="12" t="s">
        <v>29</v>
      </c>
      <c r="I6" s="10"/>
      <c r="J6" s="11" t="s">
        <v>30</v>
      </c>
      <c r="K6" s="11" t="s">
        <v>32</v>
      </c>
    </row>
    <row r="7">
      <c r="A7" s="11" t="s">
        <v>34</v>
      </c>
      <c r="B7" s="11" t="s">
        <v>36</v>
      </c>
      <c r="C7" s="10"/>
      <c r="D7" s="12" t="s">
        <v>37</v>
      </c>
      <c r="E7" s="12" t="s">
        <v>38</v>
      </c>
      <c r="F7" s="10"/>
      <c r="G7" s="10"/>
      <c r="H7" s="10"/>
      <c r="I7" s="10"/>
      <c r="J7" s="11" t="s">
        <v>39</v>
      </c>
      <c r="K7" s="11" t="s">
        <v>41</v>
      </c>
    </row>
    <row r="8">
      <c r="A8" s="12" t="s">
        <v>14</v>
      </c>
      <c r="B8" s="12" t="s">
        <v>45</v>
      </c>
      <c r="C8" s="10"/>
      <c r="D8" s="10"/>
      <c r="E8" s="10"/>
      <c r="F8" s="10"/>
      <c r="G8" s="10"/>
      <c r="H8" s="10"/>
      <c r="I8" s="10"/>
      <c r="J8" s="11" t="s">
        <v>49</v>
      </c>
      <c r="K8" s="11" t="s">
        <v>50</v>
      </c>
    </row>
    <row r="9">
      <c r="A9" s="10"/>
      <c r="B9" s="10"/>
      <c r="C9" s="10"/>
      <c r="D9" s="10"/>
      <c r="E9" s="10"/>
      <c r="F9" s="10"/>
      <c r="G9" s="10"/>
      <c r="H9" s="10"/>
      <c r="I9" s="10"/>
      <c r="J9" s="11" t="s">
        <v>55</v>
      </c>
      <c r="K9" s="11" t="s">
        <v>57</v>
      </c>
    </row>
    <row r="10">
      <c r="A10" s="21" t="s">
        <v>58</v>
      </c>
      <c r="I10" s="10"/>
      <c r="J10" s="11" t="s">
        <v>61</v>
      </c>
      <c r="K10" s="11" t="s">
        <v>63</v>
      </c>
    </row>
    <row r="11" ht="24.0" customHeight="1">
      <c r="A11" s="23" t="s">
        <v>64</v>
      </c>
      <c r="B11" s="30"/>
      <c r="C11" s="30"/>
      <c r="D11" s="30"/>
      <c r="E11" s="30"/>
      <c r="F11" s="30"/>
      <c r="G11" s="30"/>
      <c r="H11" s="34"/>
      <c r="I11" s="10"/>
      <c r="J11" s="11" t="s">
        <v>73</v>
      </c>
      <c r="K11" s="11" t="s">
        <v>74</v>
      </c>
    </row>
    <row r="12" ht="24.0" customHeight="1">
      <c r="A12" s="37"/>
      <c r="H12" s="38"/>
      <c r="I12" s="10"/>
      <c r="J12" s="11" t="s">
        <v>76</v>
      </c>
      <c r="K12" s="11" t="s">
        <v>78</v>
      </c>
    </row>
    <row r="13" ht="24.0" customHeight="1">
      <c r="A13" s="37"/>
      <c r="H13" s="38"/>
      <c r="I13" s="10"/>
      <c r="J13" s="12" t="s">
        <v>80</v>
      </c>
      <c r="K13" s="12" t="s">
        <v>81</v>
      </c>
    </row>
    <row r="14" ht="24.0" customHeight="1">
      <c r="A14" s="42"/>
      <c r="B14" s="43"/>
      <c r="C14" s="43"/>
      <c r="D14" s="43"/>
      <c r="E14" s="43"/>
      <c r="F14" s="43"/>
      <c r="G14" s="43"/>
      <c r="H14"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K1"/>
    <mergeCell ref="A2:K2"/>
    <mergeCell ref="A10:H10"/>
    <mergeCell ref="A11:H14"/>
  </mergeCells>
  <printOptions/>
  <pageMargins bottom="0.75" footer="0.0" header="0.0" left="0.7" right="0.7" top="0.75"/>
  <pageSetup orientation="landscape"/>
  <drawing r:id="rId1"/>
</worksheet>
</file>